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codeName="ThisWorkbook"/>
  <mc:AlternateContent xmlns:mc="http://schemas.openxmlformats.org/markup-compatibility/2006">
    <mc:Choice Requires="x15">
      <x15ac:absPath xmlns:x15ac="http://schemas.microsoft.com/office/spreadsheetml/2010/11/ac" url="C:\Users\alejandrod\Documents\GitHub\PRODUCTION\MANTENIMIENTO\Scripts_R000_ORDEN_TRABAJO\"/>
    </mc:Choice>
  </mc:AlternateContent>
  <xr:revisionPtr revIDLastSave="0" documentId="13_ncr:1_{FDB8A66A-8B82-4181-A307-94CDC8D884A4}" xr6:coauthVersionLast="47" xr6:coauthVersionMax="47" xr10:uidLastSave="{00000000-0000-0000-0000-000000000000}"/>
  <bookViews>
    <workbookView xWindow="-120" yWindow="-120" windowWidth="29040" windowHeight="15840" tabRatio="415" activeTab="3" xr2:uid="{00000000-000D-0000-FFFF-FFFF00000000}"/>
  </bookViews>
  <sheets>
    <sheet name="CI_ESTACIÓN" sheetId="1" r:id="rId1"/>
    <sheet name="CI_SUB_ESTACION" sheetId="4" r:id="rId2"/>
    <sheet name="CI_MOTIVO" sheetId="7" r:id="rId3"/>
    <sheet name="CI_TIPO" sheetId="6" r:id="rId4"/>
    <sheet name="Hoja2" sheetId="5" r:id="rId5"/>
  </sheets>
  <definedNames>
    <definedName name="_xlnm._FilterDatabase" localSheetId="0" hidden="1">CI_ESTACIÓN!$A$1:$K$10</definedName>
    <definedName name="_xlnm._FilterDatabase" localSheetId="2" hidden="1">CI_MOTIVO!$A$1:$K$10</definedName>
    <definedName name="_xlnm._FilterDatabase" localSheetId="1" hidden="1">CI_SUB_ESTACION!$A$1:$L$10</definedName>
    <definedName name="_xlnm._FilterDatabase" localSheetId="3" hidden="1">CI_TIPO!$A$1:$K$10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6" l="1"/>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4" i="6"/>
  <c r="H22" i="7"/>
  <c r="H23" i="7"/>
  <c r="H24" i="7"/>
  <c r="H25" i="7"/>
  <c r="H26" i="7"/>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3" i="4"/>
  <c r="H2" i="7"/>
  <c r="K1" i="7"/>
  <c r="H102" i="7" s="1"/>
  <c r="H2" i="6"/>
  <c r="K1" i="6"/>
  <c r="L1" i="4"/>
  <c r="K1" i="1"/>
  <c r="H3" i="1" s="1"/>
  <c r="I2" i="4"/>
  <c r="H10" i="1"/>
  <c r="H10" i="7" l="1"/>
  <c r="H18" i="7"/>
  <c r="H31" i="7"/>
  <c r="H39" i="7"/>
  <c r="H47" i="7"/>
  <c r="H55" i="7"/>
  <c r="H63" i="7"/>
  <c r="H71" i="7"/>
  <c r="H79" i="7"/>
  <c r="H87" i="7"/>
  <c r="H95" i="7"/>
  <c r="H17" i="7"/>
  <c r="H94" i="7"/>
  <c r="H3" i="7"/>
  <c r="H11" i="7"/>
  <c r="H19" i="7"/>
  <c r="H32" i="7"/>
  <c r="H40" i="7"/>
  <c r="H48" i="7"/>
  <c r="H56" i="7"/>
  <c r="H64" i="7"/>
  <c r="H72" i="7"/>
  <c r="H80" i="7"/>
  <c r="H88" i="7"/>
  <c r="H96" i="7"/>
  <c r="H86" i="7"/>
  <c r="H4" i="7"/>
  <c r="H12" i="7"/>
  <c r="H20" i="7"/>
  <c r="H33" i="7"/>
  <c r="H41" i="7"/>
  <c r="H49" i="7"/>
  <c r="H57" i="7"/>
  <c r="H65" i="7"/>
  <c r="H73" i="7"/>
  <c r="H81" i="7"/>
  <c r="H89" i="7"/>
  <c r="H97" i="7"/>
  <c r="H9" i="7"/>
  <c r="H78" i="7"/>
  <c r="H5" i="7"/>
  <c r="H13" i="7"/>
  <c r="H21" i="7"/>
  <c r="H34" i="7"/>
  <c r="H42" i="7"/>
  <c r="H50" i="7"/>
  <c r="H58" i="7"/>
  <c r="H66" i="7"/>
  <c r="H74" i="7"/>
  <c r="H82" i="7"/>
  <c r="H90" i="7"/>
  <c r="H98" i="7"/>
  <c r="H38" i="7"/>
  <c r="H62" i="7"/>
  <c r="H6" i="7"/>
  <c r="H14" i="7"/>
  <c r="H27" i="7"/>
  <c r="H35" i="7"/>
  <c r="H43" i="7"/>
  <c r="H51" i="7"/>
  <c r="H59" i="7"/>
  <c r="H67" i="7"/>
  <c r="H75" i="7"/>
  <c r="H83" i="7"/>
  <c r="H91" i="7"/>
  <c r="H99" i="7"/>
  <c r="H30" i="7"/>
  <c r="H70" i="7"/>
  <c r="H7" i="7"/>
  <c r="H15" i="7"/>
  <c r="H28" i="7"/>
  <c r="H36" i="7"/>
  <c r="H44" i="7"/>
  <c r="H52" i="7"/>
  <c r="H60" i="7"/>
  <c r="H68" i="7"/>
  <c r="H76" i="7"/>
  <c r="H84" i="7"/>
  <c r="H92" i="7"/>
  <c r="H100" i="7"/>
  <c r="H46" i="7"/>
  <c r="H54" i="7"/>
  <c r="H8" i="7"/>
  <c r="H16" i="7"/>
  <c r="H29" i="7"/>
  <c r="H37" i="7"/>
  <c r="H45" i="7"/>
  <c r="H53" i="7"/>
  <c r="H61" i="7"/>
  <c r="H69" i="7"/>
  <c r="H77" i="7"/>
  <c r="H85" i="7"/>
  <c r="H93" i="7"/>
  <c r="H101" i="7"/>
  <c r="H3" i="6"/>
  <c r="H24" i="1"/>
  <c r="H25" i="1"/>
  <c r="H17" i="1"/>
  <c r="H16" i="1"/>
  <c r="H9" i="1"/>
  <c r="H8" i="1"/>
  <c r="H23" i="1"/>
  <c r="H15" i="1"/>
  <c r="H7" i="1"/>
  <c r="H22" i="1"/>
  <c r="H14" i="1"/>
  <c r="H6" i="1"/>
  <c r="H21" i="1"/>
  <c r="H13" i="1"/>
  <c r="H5" i="1"/>
  <c r="H20" i="1"/>
  <c r="H12" i="1"/>
  <c r="H4" i="1"/>
  <c r="H19" i="1"/>
  <c r="H11" i="1"/>
  <c r="H26" i="1"/>
  <c r="H18" i="1"/>
  <c r="H2" i="1"/>
</calcChain>
</file>

<file path=xl/sharedStrings.xml><?xml version="1.0" encoding="utf-8"?>
<sst xmlns="http://schemas.openxmlformats.org/spreadsheetml/2006/main" count="420" uniqueCount="346">
  <si>
    <t>K_SISTEMA_EXE</t>
  </si>
  <si>
    <t>K_USUARIO_ACCION</t>
  </si>
  <si>
    <t xml:space="preserve">] </t>
  </si>
  <si>
    <t>-</t>
  </si>
  <si>
    <t>???</t>
  </si>
  <si>
    <t>EXECUTE [dbo].[</t>
  </si>
  <si>
    <t>Edificio</t>
  </si>
  <si>
    <t>Engomadora 1</t>
  </si>
  <si>
    <t>Laminadora</t>
  </si>
  <si>
    <t>Maquina de costura</t>
  </si>
  <si>
    <t>Perforadora 1</t>
  </si>
  <si>
    <t>Perforadora 2</t>
  </si>
  <si>
    <t>Perforadora 3</t>
  </si>
  <si>
    <t>Perforadora 4</t>
  </si>
  <si>
    <t>Perforadora 5</t>
  </si>
  <si>
    <t>Perforadora 6</t>
  </si>
  <si>
    <t>Perforadora 7</t>
  </si>
  <si>
    <t>Prensa 1</t>
  </si>
  <si>
    <t>Prensa 2</t>
  </si>
  <si>
    <t>Prensa 3</t>
  </si>
  <si>
    <t>Prensa clicker</t>
  </si>
  <si>
    <t>Rebajadora 1</t>
  </si>
  <si>
    <t>Rebajadora 2</t>
  </si>
  <si>
    <t>Rectificadora</t>
  </si>
  <si>
    <t>[K]</t>
  </si>
  <si>
    <t>[D]</t>
  </si>
  <si>
    <t>[L]</t>
  </si>
  <si>
    <t>PG_CI_ESTACION_TRABAJO</t>
  </si>
  <si>
    <t>(NO APLICA)</t>
  </si>
  <si>
    <t>T01</t>
  </si>
  <si>
    <t>T02</t>
  </si>
  <si>
    <t>T03</t>
  </si>
  <si>
    <t>T04</t>
  </si>
  <si>
    <t>T05</t>
  </si>
  <si>
    <t>T06</t>
  </si>
  <si>
    <t>T07</t>
  </si>
  <si>
    <t>T08</t>
  </si>
  <si>
    <t>T09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</si>
  <si>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</si>
  <si>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</si>
  <si>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</si>
  <si>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</si>
  <si>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</si>
  <si>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</si>
  <si>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</si>
  <si>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</si>
  <si>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</si>
  <si>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</si>
  <si>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</si>
  <si>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</si>
  <si>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</si>
  <si>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</si>
  <si>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</si>
  <si>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</si>
  <si>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</si>
  <si>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</si>
  <si>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</si>
  <si>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</si>
  <si>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</si>
  <si>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</si>
  <si>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</si>
  <si>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</si>
  <si>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</si>
  <si>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</si>
  <si>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</si>
  <si>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</si>
  <si>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</si>
  <si>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</si>
  <si>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</si>
  <si>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</si>
  <si>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</si>
  <si>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</si>
  <si>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</si>
  <si>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</si>
  <si>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</si>
  <si>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</si>
  <si>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</si>
  <si>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</si>
  <si>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</si>
  <si>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</si>
  <si>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</si>
  <si>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</si>
  <si>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</si>
  <si>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</si>
  <si>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</si>
  <si>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</si>
  <si>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</si>
  <si>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</si>
  <si>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</si>
  <si>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</si>
  <si>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</si>
  <si>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</si>
  <si>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</si>
  <si>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</si>
  <si>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</si>
  <si>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</si>
  <si>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</si>
  <si>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</si>
  <si>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</si>
  <si>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</si>
  <si>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</si>
  <si>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</si>
  <si>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</si>
  <si>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</si>
  <si>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</si>
  <si>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</si>
  <si>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</si>
  <si>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</si>
  <si>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</si>
  <si>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</si>
  <si>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</si>
  <si>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</si>
  <si>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</si>
  <si>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</si>
  <si>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Prensa 4</t>
  </si>
  <si>
    <t>Prensa 5</t>
  </si>
  <si>
    <t>Prensa 6</t>
  </si>
  <si>
    <t>Prensa 7</t>
  </si>
  <si>
    <t>Prensa 8</t>
  </si>
  <si>
    <t>[K_ESTACION]</t>
  </si>
  <si>
    <t>MESA 01</t>
  </si>
  <si>
    <t>MESA 02</t>
  </si>
  <si>
    <t>MESA 03</t>
  </si>
  <si>
    <t>MESA 04</t>
  </si>
  <si>
    <t>MESA 05</t>
  </si>
  <si>
    <t>MESA 06</t>
  </si>
  <si>
    <t>MESA 07</t>
  </si>
  <si>
    <t>MESA 08</t>
  </si>
  <si>
    <t>MESA 09</t>
  </si>
  <si>
    <t>MESA 10</t>
  </si>
  <si>
    <t>MESA 11</t>
  </si>
  <si>
    <t>MESA 12</t>
  </si>
  <si>
    <t>MESA 13</t>
  </si>
  <si>
    <t>MESA 14</t>
  </si>
  <si>
    <t>MESA 15</t>
  </si>
  <si>
    <t>MESA 16</t>
  </si>
  <si>
    <t>MESA 17</t>
  </si>
  <si>
    <t>MESA 18</t>
  </si>
  <si>
    <t>MESA 19</t>
  </si>
  <si>
    <t>MESA 20</t>
  </si>
  <si>
    <t>MESA 21</t>
  </si>
  <si>
    <t>MESA 22</t>
  </si>
  <si>
    <t>MESA 23</t>
  </si>
  <si>
    <t>MESA 24</t>
  </si>
  <si>
    <t>MESA 25</t>
  </si>
  <si>
    <t>MESA 26</t>
  </si>
  <si>
    <t>MESA 27</t>
  </si>
  <si>
    <t>MESA 28</t>
  </si>
  <si>
    <t>MESA 29</t>
  </si>
  <si>
    <t>MESA 30</t>
  </si>
  <si>
    <t>MESA 31</t>
  </si>
  <si>
    <t>MESA 32</t>
  </si>
  <si>
    <t>MESA 33</t>
  </si>
  <si>
    <t>MESA 34</t>
  </si>
  <si>
    <t>MESA 35</t>
  </si>
  <si>
    <t>MESA 36</t>
  </si>
  <si>
    <t>MESA 37</t>
  </si>
  <si>
    <t>MESA 38</t>
  </si>
  <si>
    <t>MESA 39</t>
  </si>
  <si>
    <t>MESA 40</t>
  </si>
  <si>
    <t>MESA 41</t>
  </si>
  <si>
    <t>MESA 42</t>
  </si>
  <si>
    <t>MESA 43</t>
  </si>
  <si>
    <t>MESA 44</t>
  </si>
  <si>
    <t>MESA 45</t>
  </si>
  <si>
    <t>MESA 46</t>
  </si>
  <si>
    <t>MESA 47</t>
  </si>
  <si>
    <t>MESA 48</t>
  </si>
  <si>
    <t>MESA 49</t>
  </si>
  <si>
    <t>MESA 50</t>
  </si>
  <si>
    <t>MESA 51</t>
  </si>
  <si>
    <t>MESA 52</t>
  </si>
  <si>
    <t>MESA 53</t>
  </si>
  <si>
    <t>MESA 54</t>
  </si>
  <si>
    <t>MESA 55</t>
  </si>
  <si>
    <t>MESA 56</t>
  </si>
  <si>
    <t>MESA 57</t>
  </si>
  <si>
    <t>MESA 58</t>
  </si>
  <si>
    <t>MESA 59</t>
  </si>
  <si>
    <t>MESA 60</t>
  </si>
  <si>
    <t>MESA 61</t>
  </si>
  <si>
    <t>MESA 62</t>
  </si>
  <si>
    <t>MESA 63</t>
  </si>
  <si>
    <t>MESA 64</t>
  </si>
  <si>
    <t>MESA 65</t>
  </si>
  <si>
    <t>MESA 66</t>
  </si>
  <si>
    <t>MESA 67</t>
  </si>
  <si>
    <t>MESA 68</t>
  </si>
  <si>
    <t>MESA 69</t>
  </si>
  <si>
    <t>MESA 70</t>
  </si>
  <si>
    <t>MESA 71</t>
  </si>
  <si>
    <t>MESA 72</t>
  </si>
  <si>
    <t>MESA 73</t>
  </si>
  <si>
    <t>MESA 74</t>
  </si>
  <si>
    <t>MESA 75</t>
  </si>
  <si>
    <t>MESA 76</t>
  </si>
  <si>
    <t>MESA 77</t>
  </si>
  <si>
    <t>MESA 78</t>
  </si>
  <si>
    <t>MESA 79</t>
  </si>
  <si>
    <t>MESA 80</t>
  </si>
  <si>
    <t>MESA 81</t>
  </si>
  <si>
    <t>MESA 82</t>
  </si>
  <si>
    <t>MESA 83</t>
  </si>
  <si>
    <t>MESA 84</t>
  </si>
  <si>
    <t>MESA 85</t>
  </si>
  <si>
    <t>Aire evaporativo sin base</t>
  </si>
  <si>
    <t>Banda floja</t>
  </si>
  <si>
    <t>Baquelitas resecas</t>
  </si>
  <si>
    <t>Base quebrada</t>
  </si>
  <si>
    <t>Boton danado</t>
  </si>
  <si>
    <t>Buje suelto</t>
  </si>
  <si>
    <t>Cabezal desnivelado</t>
  </si>
  <si>
    <t>Cable suelto</t>
  </si>
  <si>
    <t>Chainblock atorado</t>
  </si>
  <si>
    <t>Chapa floja</t>
  </si>
  <si>
    <t>Desanivelada</t>
  </si>
  <si>
    <t>Ductos de aire sucio</t>
  </si>
  <si>
    <t>Fabricar base</t>
  </si>
  <si>
    <t>Fabricar tope</t>
  </si>
  <si>
    <t>Falla de corte</t>
  </si>
  <si>
    <t>Falla de costura</t>
  </si>
  <si>
    <t>Falla de fusible</t>
  </si>
  <si>
    <t>Falla de lampara</t>
  </si>
  <si>
    <t>Falla de polea</t>
  </si>
  <si>
    <t>Falla de prensa</t>
  </si>
  <si>
    <t>Falla de rebajadora</t>
  </si>
  <si>
    <t>Falla de sello</t>
  </si>
  <si>
    <t>Falla de sensor</t>
  </si>
  <si>
    <t>Falla de tabla</t>
  </si>
  <si>
    <t>Falla de zinc</t>
  </si>
  <si>
    <t>Foco fundido</t>
  </si>
  <si>
    <t>Fuga de aceite</t>
  </si>
  <si>
    <t>Humo en calentones</t>
  </si>
  <si>
    <t>Lampara fundida</t>
  </si>
  <si>
    <t>Mejora de Zinc</t>
  </si>
  <si>
    <t>Mesa quebrada</t>
  </si>
  <si>
    <t>Minisplit no enfria</t>
  </si>
  <si>
    <t>Navaja terminada</t>
  </si>
  <si>
    <t>No corta</t>
  </si>
  <si>
    <t>No mete placas</t>
  </si>
  <si>
    <t>No prende</t>
  </si>
  <si>
    <t>Partes flojas</t>
  </si>
  <si>
    <t>Pieza atorada</t>
  </si>
  <si>
    <t>Pieza jalada</t>
  </si>
  <si>
    <t>Piezas pegadas</t>
  </si>
  <si>
    <t>Piezas rayadas</t>
  </si>
  <si>
    <t>PM</t>
  </si>
  <si>
    <t>Puerta floja</t>
  </si>
  <si>
    <t>Rectificado</t>
  </si>
  <si>
    <t>Resetear contador</t>
  </si>
  <si>
    <t>Rollo de papel</t>
  </si>
  <si>
    <t>Ruido</t>
  </si>
  <si>
    <t>Sello despegado</t>
  </si>
  <si>
    <t>Sensor no funciona</t>
  </si>
  <si>
    <t>Sensor obstruido</t>
  </si>
  <si>
    <t>Sensor sucio</t>
  </si>
  <si>
    <t>Sensor tapado</t>
  </si>
  <si>
    <t>Servicio</t>
  </si>
  <si>
    <t>Setup</t>
  </si>
  <si>
    <t>Suciedad</t>
  </si>
  <si>
    <t>Tabla atorada</t>
  </si>
  <si>
    <t>Tope suelto</t>
  </si>
  <si>
    <t>Tornillo capado</t>
  </si>
  <si>
    <t>Tornillo flojo</t>
  </si>
  <si>
    <t>Trampa de grasa</t>
  </si>
  <si>
    <t>Cadena dañada</t>
  </si>
  <si>
    <t>Carrito dañado</t>
  </si>
  <si>
    <t>Chainblock dañado</t>
  </si>
  <si>
    <t>Cambio de plafones</t>
  </si>
  <si>
    <t>Dado recorrido</t>
  </si>
  <si>
    <t>Evaporativo dañado</t>
  </si>
  <si>
    <t>Falla de botón</t>
  </si>
  <si>
    <t>Falla de máquina</t>
  </si>
  <si>
    <t>Falla eléctrica</t>
  </si>
  <si>
    <t>Filo dañado</t>
  </si>
  <si>
    <t>Guarda caída</t>
  </si>
  <si>
    <t>Guarda dañada</t>
  </si>
  <si>
    <t>Intalación eléctrica</t>
  </si>
  <si>
    <t>Manometro dañado</t>
  </si>
  <si>
    <t>Máquina lenta</t>
  </si>
  <si>
    <t>Motor dañado</t>
  </si>
  <si>
    <t>Servomotor activado</t>
  </si>
  <si>
    <t>Vibración</t>
  </si>
  <si>
    <t>Navaja dañada</t>
  </si>
  <si>
    <t>Obstrucción de material</t>
  </si>
  <si>
    <t>Palanca dañada</t>
  </si>
  <si>
    <t>Plafón dañado</t>
  </si>
  <si>
    <t>Puerta dañada</t>
  </si>
  <si>
    <t>Reparación de evaporativos</t>
  </si>
  <si>
    <t>Bloqueo</t>
  </si>
  <si>
    <t>Cadena salida</t>
  </si>
  <si>
    <t>Sello dañado</t>
  </si>
  <si>
    <t>Serpentina dañada</t>
  </si>
  <si>
    <t>Sproket dañados</t>
  </si>
  <si>
    <t>Sujetador dañado</t>
  </si>
  <si>
    <t>Tabla dañada</t>
  </si>
  <si>
    <t>Valvula de aire dañada</t>
  </si>
  <si>
    <t>Bomba de agua dañada</t>
  </si>
  <si>
    <t>Caja eléctrica sin tapa</t>
  </si>
  <si>
    <t>PG_CI_MOTIVO_ORDEN_TRABAJO</t>
  </si>
  <si>
    <t>PG_CI_TIPO_ORDEN_TRABAJO</t>
  </si>
  <si>
    <t>Ajuste</t>
  </si>
  <si>
    <t>Desgaste de filo</t>
  </si>
  <si>
    <t>Desgaste de navaja</t>
  </si>
  <si>
    <t>Falla de amortiguador</t>
  </si>
  <si>
    <t>Falla de chainblock</t>
  </si>
  <si>
    <t>Falla de drenaje</t>
  </si>
  <si>
    <t>Falla de evaporativo</t>
  </si>
  <si>
    <t>Falla de instalaciones</t>
  </si>
  <si>
    <t>Falla de mesa</t>
  </si>
  <si>
    <t>Falla de minisplt</t>
  </si>
  <si>
    <t>Falla de nivel</t>
  </si>
  <si>
    <t>Falla de operador</t>
  </si>
  <si>
    <t>Falla de palanca</t>
  </si>
  <si>
    <t>Falla de perforadora</t>
  </si>
  <si>
    <t>Falla de PM</t>
  </si>
  <si>
    <t>Falla de servomotor</t>
  </si>
  <si>
    <t>Falla de setup</t>
  </si>
  <si>
    <t>Falla de tope</t>
  </si>
  <si>
    <t>Falta de PM</t>
  </si>
  <si>
    <t>Falta de tornillos</t>
  </si>
  <si>
    <t>Manejo de scrap</t>
  </si>
  <si>
    <t>Mejora</t>
  </si>
  <si>
    <t>Otro</t>
  </si>
  <si>
    <t>Papel mal cortado</t>
  </si>
  <si>
    <t>Sello  despegado</t>
  </si>
  <si>
    <t>Termino de ciclos de corte</t>
  </si>
  <si>
    <t>Bomba dañada</t>
  </si>
  <si>
    <t>Chumacera dañada</t>
  </si>
  <si>
    <t>Fabricación</t>
  </si>
  <si>
    <t>Falla de push botón</t>
  </si>
  <si>
    <t>Falla mecánica</t>
  </si>
  <si>
    <t>Falta de lubricación</t>
  </si>
  <si>
    <t>Lámpara fundida</t>
  </si>
  <si>
    <t>Manómetro dañado</t>
  </si>
  <si>
    <t>Mesa dañada</t>
  </si>
  <si>
    <t>Tubería dañada</t>
  </si>
  <si>
    <t>Dado vencido</t>
  </si>
  <si>
    <t>Muesca dañada</t>
  </si>
  <si>
    <t>Dado quebrado</t>
  </si>
  <si>
    <t>Placa</t>
  </si>
  <si>
    <t>Gomas</t>
  </si>
  <si>
    <t>Filo</t>
  </si>
  <si>
    <t>Mantenimiento Dado</t>
  </si>
  <si>
    <t>Fabricación Dado</t>
  </si>
  <si>
    <t>Reparación Dado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</si>
</sst>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 #,##0.00_-;\-* #,##0.00_-;_-* &quot;-&quot;??_-;_-@_-"/>
    <numFmt numFmtId="166" formatCode="000"/>
  </numFmts>
  <fonts count="13" x14ac:knownFonts="1">
    <font>
      <sz val="11"/>
      <color theme="1"/>
      <name val="Calibri"/>
      <family val="2"/>
      <scheme val="minor"/>
    </font>
    <font>
      <b/>
      <sz val="9"/>
      <color theme="1"/>
      <name val="Calibri"/>
      <family val="2"/>
      <scheme val="minor"/>
    </font>
    <font>
      <b/>
      <i/>
      <sz val="9"/>
      <color rgb="FFC00000"/>
      <name val="Calibri"/>
      <family val="2"/>
      <scheme val="minor"/>
    </font>
    <font>
      <sz val="9"/>
      <color theme="1"/>
      <name val="Calibri"/>
      <family val="2"/>
      <scheme val="minor"/>
    </font>
    <font>
      <i/>
      <sz val="9"/>
      <color theme="1"/>
      <name val="Calibri"/>
      <family val="2"/>
      <scheme val="minor"/>
    </font>
    <font>
      <b/>
      <u/>
      <sz val="9"/>
      <color theme="1"/>
      <name val="Calibri"/>
      <family val="2"/>
      <scheme val="minor"/>
    </font>
    <font>
      <sz val="10"/>
      <name val="Arial"/>
      <family val="2"/>
    </font>
    <font>
      <sz val="10"/>
      <name val="Arial"/>
      <family val="2"/>
    </font>
    <font>
      <sz val="11"/>
      <color rgb="FFFF0000"/>
      <name val="Calibri"/>
      <family val="2"/>
      <scheme val="minor"/>
    </font>
    <font>
      <b/>
      <i/>
      <sz val="9"/>
      <color rgb="FF00B050"/>
      <name val="Calibri"/>
      <family val="2"/>
      <scheme val="minor"/>
    </font>
    <font>
      <b/>
      <i/>
      <sz val="11"/>
      <color rgb="FFC00000"/>
      <name val="Calibri"/>
      <family val="2"/>
      <scheme val="minor"/>
    </font>
    <font>
      <b/>
      <sz val="9"/>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8">
    <xf numFmtId="0" fontId="0" fillId="0" borderId="0"/>
    <xf numFmtId="0" fontId="6" fillId="0" borderId="0"/>
    <xf numFmtId="165" fontId="7"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4" fontId="6" fillId="0" borderId="0" applyFont="0" applyFill="0" applyBorder="0" applyAlignment="0" applyProtection="0"/>
    <xf numFmtId="0" fontId="7" fillId="0" borderId="0"/>
  </cellStyleXfs>
  <cellXfs count="22">
    <xf numFmtId="0" fontId="0" fillId="0" borderId="0" xfId="0"/>
    <xf numFmtId="0" fontId="1" fillId="0" borderId="0" xfId="0" applyFont="1" applyAlignment="1">
      <alignment vertical="center"/>
    </xf>
    <xf numFmtId="0" fontId="2" fillId="0" borderId="0" xfId="0" applyFont="1" applyFill="1" applyAlignment="1">
      <alignment horizontal="left" vertical="center"/>
    </xf>
    <xf numFmtId="0" fontId="0" fillId="0" borderId="0" xfId="0" applyAlignment="1">
      <alignment horizontal="center"/>
    </xf>
    <xf numFmtId="0" fontId="5" fillId="0" borderId="0" xfId="0" applyFont="1" applyAlignment="1">
      <alignment vertical="center"/>
    </xf>
    <xf numFmtId="0" fontId="1" fillId="0" borderId="0" xfId="0" quotePrefix="1" applyFont="1" applyAlignment="1">
      <alignment vertical="center"/>
    </xf>
    <xf numFmtId="0" fontId="4" fillId="0" borderId="0" xfId="0" quotePrefix="1" applyFont="1" applyAlignment="1">
      <alignment horizontal="left" vertical="center"/>
    </xf>
    <xf numFmtId="0" fontId="0" fillId="0" borderId="0" xfId="0" applyAlignment="1">
      <alignment horizontal="left"/>
    </xf>
    <xf numFmtId="0" fontId="1" fillId="0" borderId="0" xfId="0" applyFont="1" applyFill="1" applyAlignment="1">
      <alignment vertical="center"/>
    </xf>
    <xf numFmtId="0" fontId="3" fillId="0" borderId="0" xfId="0" applyFont="1" applyFill="1" applyAlignment="1">
      <alignment vertical="center"/>
    </xf>
    <xf numFmtId="0" fontId="0" fillId="0" borderId="0" xfId="0" applyFill="1"/>
    <xf numFmtId="0" fontId="8" fillId="0" borderId="0" xfId="0" applyFont="1" applyAlignment="1">
      <alignment horizontal="center"/>
    </xf>
    <xf numFmtId="0" fontId="2" fillId="0" borderId="0" xfId="0" quotePrefix="1" applyFont="1" applyAlignment="1">
      <alignment horizontal="center" vertical="center"/>
    </xf>
    <xf numFmtId="0" fontId="10" fillId="0" borderId="0" xfId="0" applyFont="1" applyAlignment="1">
      <alignment horizontal="center"/>
    </xf>
    <xf numFmtId="0" fontId="11" fillId="0" borderId="0" xfId="0" applyFont="1" applyAlignment="1">
      <alignment horizontal="center" vertical="center"/>
    </xf>
    <xf numFmtId="0" fontId="11" fillId="0" borderId="0" xfId="0" applyFont="1" applyAlignment="1">
      <alignment vertical="center"/>
    </xf>
    <xf numFmtId="0" fontId="1" fillId="0" borderId="0" xfId="0" applyFont="1" applyFill="1" applyAlignment="1">
      <alignment horizontal="center" vertical="center"/>
    </xf>
    <xf numFmtId="0" fontId="4" fillId="0" borderId="0" xfId="0" applyFont="1" applyFill="1" applyAlignment="1">
      <alignment horizontal="center" vertical="center"/>
    </xf>
    <xf numFmtId="0" fontId="4" fillId="0" borderId="0" xfId="0" quotePrefix="1" applyFont="1" applyFill="1" applyAlignment="1">
      <alignment horizontal="left" vertical="center"/>
    </xf>
    <xf numFmtId="0" fontId="9" fillId="0" borderId="0" xfId="0" applyFont="1" applyFill="1" applyAlignment="1">
      <alignment horizontal="left" vertical="center"/>
    </xf>
    <xf numFmtId="0" fontId="3" fillId="0" borderId="0" xfId="0" quotePrefix="1" applyFont="1" applyFill="1" applyAlignment="1">
      <alignment horizontal="center" vertical="center"/>
    </xf>
    <xf numFmtId="166" fontId="2" fillId="0" borderId="0" xfId="0" applyNumberFormat="1" applyFont="1" applyFill="1" applyAlignment="1">
      <alignment horizontal="center" vertical="center"/>
    </xf>
  </cellXfs>
  <cellStyles count="8">
    <cellStyle name="Comma 2" xfId="2" xr:uid="{00000000-0005-0000-0000-000000000000}"/>
    <cellStyle name="Millares 2" xfId="3" xr:uid="{00000000-0005-0000-0000-000001000000}"/>
    <cellStyle name="Millares 3" xfId="4" xr:uid="{00000000-0005-0000-0000-000002000000}"/>
    <cellStyle name="Millares 4" xfId="5" xr:uid="{00000000-0005-0000-0000-000003000000}"/>
    <cellStyle name="Moneda 2" xfId="6" xr:uid="{00000000-0005-0000-0000-000004000000}"/>
    <cellStyle name="Normal" xfId="0" builtinId="0"/>
    <cellStyle name="Normal 2" xfId="7" xr:uid="{00000000-0005-0000-0000-000006000000}"/>
    <cellStyle name="Normal 3" xfId="1" xr:uid="{00000000-0005-0000-0000-000007000000}"/>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
      <font>
        <color rgb="FF9C0006"/>
      </font>
      <fill>
        <patternFill>
          <bgColor rgb="FFFFC7CE"/>
        </patternFill>
      </fill>
    </dxf>
    <dxf>
      <font>
        <color rgb="FF9C0006"/>
      </font>
      <fill>
        <patternFill>
          <bgColor rgb="FFFFC7CE"/>
        </patternFill>
      </fill>
    </dxf>
    <dxf>
      <font>
        <b/>
        <i/>
        <strike val="0"/>
        <color rgb="FFC00000"/>
      </font>
    </dxf>
    <dxf>
      <font>
        <color rgb="FF9C0006"/>
      </font>
      <fill>
        <patternFill>
          <bgColor rgb="FFFFC7CE"/>
        </patternFill>
      </fill>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
      <font>
        <color rgb="FF9C0006"/>
      </font>
      <fill>
        <patternFill>
          <bgColor rgb="FFFFC7CE"/>
        </patternFill>
      </fill>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
      <font>
        <color rgb="FF9C0006"/>
      </font>
      <fill>
        <patternFill>
          <bgColor rgb="FFFFC7CE"/>
        </patternFill>
      </fill>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
      <font>
        <color rgb="FF9C0006"/>
      </font>
      <fill>
        <patternFill>
          <bgColor rgb="FFFFC7CE"/>
        </patternFill>
      </fill>
    </dxf>
    <dxf>
      <font>
        <color rgb="FF9C0006"/>
      </font>
      <fill>
        <patternFill>
          <bgColor rgb="FFFFC7CE"/>
        </patternFill>
      </fill>
    </dxf>
    <dxf>
      <font>
        <b/>
        <i/>
        <strike val="0"/>
        <color rgb="FFC00000"/>
      </font>
    </dxf>
    <dxf>
      <font>
        <b/>
        <i/>
        <strike val="0"/>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strike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K246"/>
  <sheetViews>
    <sheetView zoomScale="130" zoomScaleNormal="130" workbookViewId="0">
      <selection activeCell="E30" sqref="E30"/>
    </sheetView>
  </sheetViews>
  <sheetFormatPr baseColWidth="10" defaultColWidth="11.42578125" defaultRowHeight="15" x14ac:dyDescent="0.25"/>
  <cols>
    <col min="1" max="1" width="3.28515625" style="11" customWidth="1"/>
    <col min="2" max="3" width="4.140625" customWidth="1"/>
    <col min="4" max="4" width="17.5703125" style="13" bestFit="1" customWidth="1"/>
    <col min="5" max="5" width="36.140625" style="7" bestFit="1" customWidth="1"/>
    <col min="6" max="6" width="24.42578125" style="13" customWidth="1"/>
    <col min="7" max="7" width="8.42578125" customWidth="1"/>
    <col min="8" max="8" width="25.28515625" customWidth="1"/>
    <col min="9" max="9" width="17.42578125" style="10" customWidth="1"/>
  </cols>
  <sheetData>
    <row r="1" spans="1:11" s="15" customFormat="1" x14ac:dyDescent="0.25">
      <c r="A1" s="14" t="s">
        <v>4</v>
      </c>
      <c r="B1" s="15" t="s">
        <v>0</v>
      </c>
      <c r="C1" s="15" t="s">
        <v>1</v>
      </c>
      <c r="D1" t="s">
        <v>24</v>
      </c>
      <c r="E1" t="s">
        <v>25</v>
      </c>
      <c r="F1" t="s">
        <v>26</v>
      </c>
      <c r="H1" s="15" t="s">
        <v>5</v>
      </c>
      <c r="I1" s="15" t="s">
        <v>27</v>
      </c>
      <c r="J1" s="15" t="s">
        <v>2</v>
      </c>
      <c r="K1" s="15" t="str">
        <f>CONCATENATE($H$1,$I$1,$J$1, B3, ", ", C3, ", ", )</f>
        <v xml:space="preserve">EXECUTE [dbo].[PG_CI_ESTACION_TRABAJO] 0, 0, </v>
      </c>
    </row>
    <row r="2" spans="1:11" s="8" customFormat="1" x14ac:dyDescent="0.25">
      <c r="A2" s="3"/>
      <c r="B2" s="5" t="s">
        <v>3</v>
      </c>
      <c r="C2" s="5" t="s">
        <v>3</v>
      </c>
      <c r="D2" s="12" t="s">
        <v>3</v>
      </c>
      <c r="E2" s="6" t="s">
        <v>3</v>
      </c>
      <c r="F2" s="12" t="s">
        <v>3</v>
      </c>
      <c r="G2" s="1"/>
      <c r="H2" s="2" t="str">
        <f>"-- =========================================================="</f>
        <v>-- ==========================================================</v>
      </c>
      <c r="J2" s="4"/>
      <c r="K2" s="1"/>
    </row>
    <row r="3" spans="1:11" s="8" customFormat="1" ht="12" x14ac:dyDescent="0.25">
      <c r="A3" s="16"/>
      <c r="B3" s="17">
        <v>0</v>
      </c>
      <c r="C3" s="17">
        <v>0</v>
      </c>
      <c r="D3" s="21">
        <v>0</v>
      </c>
      <c r="E3" s="18" t="s">
        <v>28</v>
      </c>
      <c r="F3" s="20">
        <v>1</v>
      </c>
      <c r="H3" s="19" t="str">
        <f>CONCATENATE(CI_ESTACIÓN!$K$1,D3,", '",E3,"', ",F3,"")</f>
        <v>EXECUTE [dbo].[PG_CI_ESTACION_TRABAJO] 0, 0, 0, '(NO APLICA)', 1</v>
      </c>
      <c r="I3" s="9"/>
    </row>
    <row r="4" spans="1:11" s="8" customFormat="1" ht="12" x14ac:dyDescent="0.25">
      <c r="A4" s="16"/>
      <c r="B4" s="17">
        <v>0</v>
      </c>
      <c r="C4" s="17">
        <v>0</v>
      </c>
      <c r="D4" s="21">
        <v>1</v>
      </c>
      <c r="E4" s="18" t="s">
        <v>17</v>
      </c>
      <c r="F4" s="20">
        <v>1</v>
      </c>
      <c r="H4" s="19" t="str">
        <f>CONCATENATE(CI_ESTACIÓN!$K$1,D4,", '",E4,"', ",F4,"")</f>
        <v>EXECUTE [dbo].[PG_CI_ESTACION_TRABAJO] 0, 0, 1, 'Prensa 1', 1</v>
      </c>
      <c r="I4" s="9"/>
    </row>
    <row r="5" spans="1:11" s="8" customFormat="1" ht="12" x14ac:dyDescent="0.25">
      <c r="A5" s="16"/>
      <c r="B5" s="17">
        <v>0</v>
      </c>
      <c r="C5" s="17">
        <v>0</v>
      </c>
      <c r="D5" s="21">
        <v>2</v>
      </c>
      <c r="E5" s="18" t="s">
        <v>18</v>
      </c>
      <c r="F5" s="20">
        <v>1</v>
      </c>
      <c r="H5" s="19" t="str">
        <f>CONCATENATE(CI_ESTACIÓN!$K$1,D5,", '",E5,"', ",F5,"")</f>
        <v>EXECUTE [dbo].[PG_CI_ESTACION_TRABAJO] 0, 0, 2, 'Prensa 2', 1</v>
      </c>
      <c r="I5" s="9"/>
    </row>
    <row r="6" spans="1:11" x14ac:dyDescent="0.25">
      <c r="A6" s="16"/>
      <c r="B6" s="17">
        <v>0</v>
      </c>
      <c r="C6" s="17">
        <v>0</v>
      </c>
      <c r="D6" s="21">
        <v>3</v>
      </c>
      <c r="E6" s="18" t="s">
        <v>19</v>
      </c>
      <c r="F6" s="20">
        <v>1</v>
      </c>
      <c r="G6" s="8"/>
      <c r="H6" s="19" t="str">
        <f>CONCATENATE(CI_ESTACIÓN!$K$1,D6,", '",E6,"', ",F6,"")</f>
        <v>EXECUTE [dbo].[PG_CI_ESTACION_TRABAJO] 0, 0, 3, 'Prensa 3', 1</v>
      </c>
      <c r="I6" s="9"/>
      <c r="J6" s="8"/>
      <c r="K6" s="8"/>
    </row>
    <row r="7" spans="1:11" s="8" customFormat="1" ht="12" x14ac:dyDescent="0.25">
      <c r="A7" s="16"/>
      <c r="B7" s="17">
        <v>0</v>
      </c>
      <c r="C7" s="17">
        <v>0</v>
      </c>
      <c r="D7" s="21">
        <v>4</v>
      </c>
      <c r="E7" s="18" t="s">
        <v>114</v>
      </c>
      <c r="F7" s="20">
        <v>1</v>
      </c>
      <c r="H7" s="19" t="str">
        <f>CONCATENATE(CI_ESTACIÓN!$K$1,D7,", '",E7,"', ",F7,"")</f>
        <v>EXECUTE [dbo].[PG_CI_ESTACION_TRABAJO] 0, 0, 4, 'Prensa 4', 1</v>
      </c>
      <c r="I7" s="9"/>
    </row>
    <row r="8" spans="1:11" s="8" customFormat="1" ht="12" x14ac:dyDescent="0.25">
      <c r="A8" s="16"/>
      <c r="B8" s="17">
        <v>0</v>
      </c>
      <c r="C8" s="17">
        <v>0</v>
      </c>
      <c r="D8" s="21">
        <v>5</v>
      </c>
      <c r="E8" s="18" t="s">
        <v>115</v>
      </c>
      <c r="F8" s="20">
        <v>1</v>
      </c>
      <c r="H8" s="19" t="str">
        <f>CONCATENATE(CI_ESTACIÓN!$K$1,D8,", '",E8,"', ",F8,"")</f>
        <v>EXECUTE [dbo].[PG_CI_ESTACION_TRABAJO] 0, 0, 5, 'Prensa 5', 1</v>
      </c>
      <c r="I8" s="9"/>
    </row>
    <row r="9" spans="1:11" s="8" customFormat="1" ht="12" x14ac:dyDescent="0.25">
      <c r="A9" s="16"/>
      <c r="B9" s="17">
        <v>0</v>
      </c>
      <c r="C9" s="17">
        <v>0</v>
      </c>
      <c r="D9" s="21">
        <v>6</v>
      </c>
      <c r="E9" s="18" t="s">
        <v>116</v>
      </c>
      <c r="F9" s="20">
        <v>1</v>
      </c>
      <c r="H9" s="19" t="str">
        <f>CONCATENATE(CI_ESTACIÓN!$K$1,D9,", '",E9,"', ",F9,"")</f>
        <v>EXECUTE [dbo].[PG_CI_ESTACION_TRABAJO] 0, 0, 6, 'Prensa 6', 1</v>
      </c>
      <c r="I9" s="9"/>
    </row>
    <row r="10" spans="1:11" s="8" customFormat="1" ht="12" x14ac:dyDescent="0.25">
      <c r="A10" s="16"/>
      <c r="B10" s="17">
        <v>0</v>
      </c>
      <c r="C10" s="17">
        <v>0</v>
      </c>
      <c r="D10" s="21">
        <v>7</v>
      </c>
      <c r="E10" s="18" t="s">
        <v>117</v>
      </c>
      <c r="F10" s="20">
        <v>1</v>
      </c>
      <c r="H10" s="19" t="str">
        <f>CONCATENATE(CI_ESTACIÓN!$K$1,D10,", '",E10,"', ",F10,"")</f>
        <v>EXECUTE [dbo].[PG_CI_ESTACION_TRABAJO] 0, 0, 7, 'Prensa 7', 1</v>
      </c>
      <c r="I10" s="9"/>
    </row>
    <row r="11" spans="1:11" s="8" customFormat="1" ht="12" x14ac:dyDescent="0.25">
      <c r="A11" s="16"/>
      <c r="B11" s="17">
        <v>0</v>
      </c>
      <c r="C11" s="17">
        <v>0</v>
      </c>
      <c r="D11" s="21">
        <v>8</v>
      </c>
      <c r="E11" s="18" t="s">
        <v>118</v>
      </c>
      <c r="F11" s="20">
        <v>1</v>
      </c>
      <c r="H11" s="19" t="str">
        <f>CONCATENATE(CI_ESTACIÓN!$K$1,D11,", '",E11,"', ",F11,"")</f>
        <v>EXECUTE [dbo].[PG_CI_ESTACION_TRABAJO] 0, 0, 8, 'Prensa 8', 1</v>
      </c>
      <c r="I11" s="9"/>
    </row>
    <row r="12" spans="1:11" s="8" customFormat="1" ht="12" x14ac:dyDescent="0.25">
      <c r="A12" s="16"/>
      <c r="B12" s="17">
        <v>0</v>
      </c>
      <c r="C12" s="17">
        <v>0</v>
      </c>
      <c r="D12" s="21">
        <v>9</v>
      </c>
      <c r="E12" s="18" t="s">
        <v>6</v>
      </c>
      <c r="F12" s="20">
        <v>1</v>
      </c>
      <c r="H12" s="19" t="str">
        <f>CONCATENATE(CI_ESTACIÓN!$K$1,D12,", '",E12,"', ",F12,"")</f>
        <v>EXECUTE [dbo].[PG_CI_ESTACION_TRABAJO] 0, 0, 9, 'Edificio', 1</v>
      </c>
      <c r="I12" s="9"/>
    </row>
    <row r="13" spans="1:11" s="8" customFormat="1" ht="12" x14ac:dyDescent="0.25">
      <c r="A13" s="16"/>
      <c r="B13" s="17">
        <v>0</v>
      </c>
      <c r="C13" s="17">
        <v>0</v>
      </c>
      <c r="D13" s="21">
        <v>10</v>
      </c>
      <c r="E13" s="18" t="s">
        <v>7</v>
      </c>
      <c r="F13" s="20">
        <v>1</v>
      </c>
      <c r="H13" s="19" t="str">
        <f>CONCATENATE(CI_ESTACIÓN!$K$1,D13,", '",E13,"', ",F13,"")</f>
        <v>EXECUTE [dbo].[PG_CI_ESTACION_TRABAJO] 0, 0, 10, 'Engomadora 1', 1</v>
      </c>
      <c r="I13" s="9"/>
    </row>
    <row r="14" spans="1:11" s="8" customFormat="1" ht="12" x14ac:dyDescent="0.25">
      <c r="A14" s="16"/>
      <c r="B14" s="17">
        <v>0</v>
      </c>
      <c r="C14" s="17">
        <v>0</v>
      </c>
      <c r="D14" s="21">
        <v>11</v>
      </c>
      <c r="E14" s="18" t="s">
        <v>8</v>
      </c>
      <c r="F14" s="20">
        <v>1</v>
      </c>
      <c r="H14" s="19" t="str">
        <f>CONCATENATE(CI_ESTACIÓN!$K$1,D14,", '",E14,"', ",F14,"")</f>
        <v>EXECUTE [dbo].[PG_CI_ESTACION_TRABAJO] 0, 0, 11, 'Laminadora', 1</v>
      </c>
      <c r="I14" s="9"/>
    </row>
    <row r="15" spans="1:11" s="8" customFormat="1" ht="12" x14ac:dyDescent="0.25">
      <c r="A15" s="16"/>
      <c r="B15" s="17">
        <v>0</v>
      </c>
      <c r="C15" s="17">
        <v>0</v>
      </c>
      <c r="D15" s="21">
        <v>12</v>
      </c>
      <c r="E15" s="18" t="s">
        <v>9</v>
      </c>
      <c r="F15" s="20">
        <v>1</v>
      </c>
      <c r="H15" s="19" t="str">
        <f>CONCATENATE(CI_ESTACIÓN!$K$1,D15,", '",E15,"', ",F15,"")</f>
        <v>EXECUTE [dbo].[PG_CI_ESTACION_TRABAJO] 0, 0, 12, 'Maquina de costura', 1</v>
      </c>
      <c r="I15" s="9"/>
    </row>
    <row r="16" spans="1:11" s="8" customFormat="1" ht="12" x14ac:dyDescent="0.25">
      <c r="A16" s="16"/>
      <c r="B16" s="17">
        <v>0</v>
      </c>
      <c r="C16" s="17">
        <v>0</v>
      </c>
      <c r="D16" s="21">
        <v>13</v>
      </c>
      <c r="E16" s="18" t="s">
        <v>10</v>
      </c>
      <c r="F16" s="20">
        <v>1</v>
      </c>
      <c r="H16" s="19" t="str">
        <f>CONCATENATE(CI_ESTACIÓN!$K$1,D16,", '",E16,"', ",F16,"")</f>
        <v>EXECUTE [dbo].[PG_CI_ESTACION_TRABAJO] 0, 0, 13, 'Perforadora 1', 1</v>
      </c>
      <c r="I16" s="9"/>
    </row>
    <row r="17" spans="1:9" s="8" customFormat="1" ht="12" x14ac:dyDescent="0.25">
      <c r="A17" s="16"/>
      <c r="B17" s="17">
        <v>0</v>
      </c>
      <c r="C17" s="17">
        <v>0</v>
      </c>
      <c r="D17" s="21">
        <v>14</v>
      </c>
      <c r="E17" s="18" t="s">
        <v>11</v>
      </c>
      <c r="F17" s="20">
        <v>1</v>
      </c>
      <c r="H17" s="19" t="str">
        <f>CONCATENATE(CI_ESTACIÓN!$K$1,D17,", '",E17,"', ",F17,"")</f>
        <v>EXECUTE [dbo].[PG_CI_ESTACION_TRABAJO] 0, 0, 14, 'Perforadora 2', 1</v>
      </c>
      <c r="I17" s="9"/>
    </row>
    <row r="18" spans="1:9" s="8" customFormat="1" ht="12" x14ac:dyDescent="0.25">
      <c r="A18" s="16"/>
      <c r="B18" s="17">
        <v>0</v>
      </c>
      <c r="C18" s="17">
        <v>0</v>
      </c>
      <c r="D18" s="21">
        <v>15</v>
      </c>
      <c r="E18" s="18" t="s">
        <v>12</v>
      </c>
      <c r="F18" s="20">
        <v>1</v>
      </c>
      <c r="H18" s="19" t="str">
        <f>CONCATENATE(CI_ESTACIÓN!$K$1,D18,", '",E18,"', ",F18,"")</f>
        <v>EXECUTE [dbo].[PG_CI_ESTACION_TRABAJO] 0, 0, 15, 'Perforadora 3', 1</v>
      </c>
      <c r="I18" s="9"/>
    </row>
    <row r="19" spans="1:9" s="8" customFormat="1" ht="12" x14ac:dyDescent="0.25">
      <c r="A19" s="16"/>
      <c r="B19" s="17">
        <v>0</v>
      </c>
      <c r="C19" s="17">
        <v>0</v>
      </c>
      <c r="D19" s="21">
        <v>16</v>
      </c>
      <c r="E19" s="18" t="s">
        <v>13</v>
      </c>
      <c r="F19" s="20">
        <v>1</v>
      </c>
      <c r="H19" s="19" t="str">
        <f>CONCATENATE(CI_ESTACIÓN!$K$1,D19,", '",E19,"', ",F19,"")</f>
        <v>EXECUTE [dbo].[PG_CI_ESTACION_TRABAJO] 0, 0, 16, 'Perforadora 4', 1</v>
      </c>
      <c r="I19" s="9"/>
    </row>
    <row r="20" spans="1:9" s="8" customFormat="1" ht="12" x14ac:dyDescent="0.25">
      <c r="A20" s="16"/>
      <c r="B20" s="17">
        <v>0</v>
      </c>
      <c r="C20" s="17">
        <v>0</v>
      </c>
      <c r="D20" s="21">
        <v>17</v>
      </c>
      <c r="E20" s="18" t="s">
        <v>14</v>
      </c>
      <c r="F20" s="20">
        <v>1</v>
      </c>
      <c r="H20" s="19" t="str">
        <f>CONCATENATE(CI_ESTACIÓN!$K$1,D20,", '",E20,"', ",F20,"")</f>
        <v>EXECUTE [dbo].[PG_CI_ESTACION_TRABAJO] 0, 0, 17, 'Perforadora 5', 1</v>
      </c>
      <c r="I20" s="9"/>
    </row>
    <row r="21" spans="1:9" s="8" customFormat="1" ht="12" x14ac:dyDescent="0.25">
      <c r="A21" s="16"/>
      <c r="B21" s="17">
        <v>0</v>
      </c>
      <c r="C21" s="17">
        <v>0</v>
      </c>
      <c r="D21" s="21">
        <v>18</v>
      </c>
      <c r="E21" s="18" t="s">
        <v>15</v>
      </c>
      <c r="F21" s="20">
        <v>1</v>
      </c>
      <c r="H21" s="19" t="str">
        <f>CONCATENATE(CI_ESTACIÓN!$K$1,D21,", '",E21,"', ",F21,"")</f>
        <v>EXECUTE [dbo].[PG_CI_ESTACION_TRABAJO] 0, 0, 18, 'Perforadora 6', 1</v>
      </c>
      <c r="I21" s="9"/>
    </row>
    <row r="22" spans="1:9" s="8" customFormat="1" ht="12" x14ac:dyDescent="0.25">
      <c r="A22" s="16"/>
      <c r="B22" s="17">
        <v>0</v>
      </c>
      <c r="C22" s="17">
        <v>0</v>
      </c>
      <c r="D22" s="21">
        <v>19</v>
      </c>
      <c r="E22" s="18" t="s">
        <v>16</v>
      </c>
      <c r="F22" s="20">
        <v>1</v>
      </c>
      <c r="H22" s="19" t="str">
        <f>CONCATENATE(CI_ESTACIÓN!$K$1,D22,", '",E22,"', ",F22,"")</f>
        <v>EXECUTE [dbo].[PG_CI_ESTACION_TRABAJO] 0, 0, 19, 'Perforadora 7', 1</v>
      </c>
      <c r="I22" s="9"/>
    </row>
    <row r="23" spans="1:9" s="8" customFormat="1" ht="12" x14ac:dyDescent="0.25">
      <c r="A23" s="16"/>
      <c r="B23" s="17">
        <v>0</v>
      </c>
      <c r="C23" s="17">
        <v>0</v>
      </c>
      <c r="D23" s="21">
        <v>20</v>
      </c>
      <c r="E23" s="18" t="s">
        <v>20</v>
      </c>
      <c r="F23" s="20">
        <v>1</v>
      </c>
      <c r="H23" s="19" t="str">
        <f>CONCATENATE(CI_ESTACIÓN!$K$1,D23,", '",E23,"', ",F23,"")</f>
        <v>EXECUTE [dbo].[PG_CI_ESTACION_TRABAJO] 0, 0, 20, 'Prensa clicker', 1</v>
      </c>
      <c r="I23" s="9"/>
    </row>
    <row r="24" spans="1:9" s="8" customFormat="1" ht="12" x14ac:dyDescent="0.25">
      <c r="A24" s="16"/>
      <c r="B24" s="17">
        <v>0</v>
      </c>
      <c r="C24" s="17">
        <v>0</v>
      </c>
      <c r="D24" s="21">
        <v>21</v>
      </c>
      <c r="E24" s="18" t="s">
        <v>21</v>
      </c>
      <c r="F24" s="20">
        <v>1</v>
      </c>
      <c r="H24" s="19" t="str">
        <f>CONCATENATE(CI_ESTACIÓN!$K$1,D24,", '",E24,"', ",F24,"")</f>
        <v>EXECUTE [dbo].[PG_CI_ESTACION_TRABAJO] 0, 0, 21, 'Rebajadora 1', 1</v>
      </c>
      <c r="I24" s="9"/>
    </row>
    <row r="25" spans="1:9" s="8" customFormat="1" ht="12" x14ac:dyDescent="0.25">
      <c r="A25" s="16"/>
      <c r="B25" s="17">
        <v>0</v>
      </c>
      <c r="C25" s="17">
        <v>0</v>
      </c>
      <c r="D25" s="21">
        <v>22</v>
      </c>
      <c r="E25" s="18" t="s">
        <v>22</v>
      </c>
      <c r="F25" s="20">
        <v>1</v>
      </c>
      <c r="H25" s="19" t="str">
        <f>CONCATENATE(CI_ESTACIÓN!$K$1,D25,", '",E25,"', ",F25,"")</f>
        <v>EXECUTE [dbo].[PG_CI_ESTACION_TRABAJO] 0, 0, 22, 'Rebajadora 2', 1</v>
      </c>
      <c r="I25" s="9"/>
    </row>
    <row r="26" spans="1:9" s="8" customFormat="1" ht="12" x14ac:dyDescent="0.25">
      <c r="A26" s="16"/>
      <c r="B26" s="17">
        <v>0</v>
      </c>
      <c r="C26" s="17">
        <v>0</v>
      </c>
      <c r="D26" s="21">
        <v>23</v>
      </c>
      <c r="E26" s="18" t="s">
        <v>23</v>
      </c>
      <c r="F26" s="20">
        <v>1</v>
      </c>
      <c r="H26" s="19" t="str">
        <f>CONCATENATE(CI_ESTACIÓN!$K$1,D26,", '",E26,"', ",F26,"")</f>
        <v>EXECUTE [dbo].[PG_CI_ESTACION_TRABAJO] 0, 0, 23, 'Rectificadora', 1</v>
      </c>
      <c r="I26" s="9"/>
    </row>
    <row r="27" spans="1:9" s="8" customFormat="1" ht="12" x14ac:dyDescent="0.25">
      <c r="A27" s="16"/>
      <c r="B27" s="17"/>
      <c r="C27" s="17"/>
      <c r="D27" s="21"/>
      <c r="E27" s="18"/>
      <c r="F27" s="20"/>
      <c r="H27" s="19"/>
      <c r="I27" s="9"/>
    </row>
    <row r="28" spans="1:9" s="8" customFormat="1" ht="12" x14ac:dyDescent="0.25">
      <c r="A28" s="16"/>
      <c r="B28" s="17"/>
      <c r="C28" s="17"/>
      <c r="D28" s="21"/>
      <c r="E28" s="18"/>
      <c r="F28" s="20"/>
      <c r="H28" s="19"/>
      <c r="I28" s="9"/>
    </row>
    <row r="29" spans="1:9" s="8" customFormat="1" ht="12" x14ac:dyDescent="0.25">
      <c r="A29" s="16"/>
      <c r="B29" s="17"/>
      <c r="C29" s="17"/>
      <c r="D29" s="21"/>
      <c r="E29" s="18"/>
      <c r="F29" s="20"/>
      <c r="H29" s="19"/>
      <c r="I29" s="9"/>
    </row>
    <row r="30" spans="1:9" s="8" customFormat="1" ht="12" x14ac:dyDescent="0.25">
      <c r="A30" s="16"/>
      <c r="B30" s="17"/>
      <c r="C30" s="17"/>
      <c r="D30" s="21"/>
      <c r="E30" s="18"/>
      <c r="F30" s="20"/>
      <c r="H30" s="19"/>
      <c r="I30" s="9"/>
    </row>
    <row r="31" spans="1:9" s="8" customFormat="1" ht="12" x14ac:dyDescent="0.25">
      <c r="A31" s="16"/>
      <c r="B31" s="17"/>
      <c r="C31" s="17"/>
      <c r="D31" s="21"/>
      <c r="E31" s="18"/>
      <c r="F31" s="20"/>
      <c r="H31" s="19"/>
      <c r="I31" s="9"/>
    </row>
    <row r="32" spans="1:9" s="8" customFormat="1" ht="12" x14ac:dyDescent="0.25">
      <c r="A32" s="16"/>
      <c r="B32" s="17"/>
      <c r="C32" s="17"/>
      <c r="D32" s="21"/>
      <c r="E32" s="18"/>
      <c r="F32" s="20"/>
      <c r="H32" s="19"/>
      <c r="I32" s="9"/>
    </row>
    <row r="33" spans="1:9" s="8" customFormat="1" ht="12" x14ac:dyDescent="0.25">
      <c r="A33" s="16"/>
      <c r="B33" s="17"/>
      <c r="C33" s="17"/>
      <c r="D33" s="21"/>
      <c r="E33" s="18"/>
      <c r="F33" s="20"/>
      <c r="H33" s="19"/>
      <c r="I33" s="9"/>
    </row>
    <row r="34" spans="1:9" s="8" customFormat="1" ht="12" x14ac:dyDescent="0.25">
      <c r="A34" s="16"/>
      <c r="B34" s="17"/>
      <c r="C34" s="17"/>
      <c r="D34" s="21"/>
      <c r="E34" s="18"/>
      <c r="F34" s="20"/>
      <c r="H34" s="19"/>
      <c r="I34" s="9"/>
    </row>
    <row r="35" spans="1:9" s="8" customFormat="1" ht="12" x14ac:dyDescent="0.25">
      <c r="A35" s="16"/>
      <c r="B35" s="17"/>
      <c r="C35" s="17"/>
      <c r="D35" s="21"/>
      <c r="E35" s="18"/>
      <c r="F35" s="20"/>
      <c r="H35" s="19"/>
      <c r="I35" s="9"/>
    </row>
    <row r="36" spans="1:9" s="8" customFormat="1" ht="12" x14ac:dyDescent="0.25">
      <c r="A36" s="16"/>
      <c r="B36" s="17"/>
      <c r="C36" s="17"/>
      <c r="D36" s="21"/>
      <c r="E36" s="18"/>
      <c r="F36" s="20"/>
      <c r="H36" s="19"/>
      <c r="I36" s="9"/>
    </row>
    <row r="37" spans="1:9" s="8" customFormat="1" ht="12" x14ac:dyDescent="0.25">
      <c r="A37" s="16"/>
      <c r="B37" s="17"/>
      <c r="C37" s="17"/>
      <c r="D37" s="21"/>
      <c r="E37" s="18"/>
      <c r="F37" s="20"/>
      <c r="H37" s="19"/>
      <c r="I37" s="9"/>
    </row>
    <row r="38" spans="1:9" s="8" customFormat="1" ht="12" x14ac:dyDescent="0.25">
      <c r="A38" s="16"/>
      <c r="B38" s="17"/>
      <c r="C38" s="17"/>
      <c r="D38" s="21"/>
      <c r="E38" s="18"/>
      <c r="F38" s="20"/>
      <c r="H38" s="19"/>
      <c r="I38" s="9"/>
    </row>
    <row r="39" spans="1:9" s="8" customFormat="1" ht="12" x14ac:dyDescent="0.25">
      <c r="A39" s="16"/>
      <c r="B39" s="17"/>
      <c r="C39" s="17"/>
      <c r="D39" s="21"/>
      <c r="E39" s="18"/>
      <c r="F39" s="20"/>
      <c r="H39" s="19"/>
      <c r="I39" s="9"/>
    </row>
    <row r="40" spans="1:9" s="8" customFormat="1" ht="12" x14ac:dyDescent="0.25">
      <c r="A40" s="16"/>
      <c r="B40" s="17"/>
      <c r="C40" s="17"/>
      <c r="D40" s="21"/>
      <c r="E40" s="18"/>
      <c r="F40" s="20"/>
      <c r="H40" s="19"/>
      <c r="I40" s="9"/>
    </row>
    <row r="41" spans="1:9" s="8" customFormat="1" ht="12" x14ac:dyDescent="0.25">
      <c r="A41" s="16"/>
      <c r="B41" s="17"/>
      <c r="C41" s="17"/>
      <c r="D41" s="21"/>
      <c r="E41" s="18"/>
      <c r="F41" s="20"/>
      <c r="H41" s="19"/>
      <c r="I41" s="9"/>
    </row>
    <row r="42" spans="1:9" s="8" customFormat="1" ht="12" x14ac:dyDescent="0.25">
      <c r="A42" s="16"/>
      <c r="B42" s="17"/>
      <c r="C42" s="17"/>
      <c r="D42" s="21"/>
      <c r="E42" s="18"/>
      <c r="F42" s="20"/>
      <c r="H42" s="19"/>
      <c r="I42" s="9"/>
    </row>
    <row r="43" spans="1:9" s="8" customFormat="1" ht="12" x14ac:dyDescent="0.25">
      <c r="A43" s="16"/>
      <c r="B43" s="17"/>
      <c r="C43" s="17"/>
      <c r="D43" s="21"/>
      <c r="E43" s="18"/>
      <c r="F43" s="20"/>
      <c r="H43" s="19"/>
      <c r="I43" s="9"/>
    </row>
    <row r="44" spans="1:9" s="8" customFormat="1" ht="12" x14ac:dyDescent="0.25">
      <c r="A44" s="16"/>
      <c r="B44" s="17"/>
      <c r="C44" s="17"/>
      <c r="D44" s="21"/>
      <c r="E44" s="18"/>
      <c r="F44" s="20"/>
      <c r="H44" s="19"/>
      <c r="I44" s="9"/>
    </row>
    <row r="45" spans="1:9" s="8" customFormat="1" ht="12" x14ac:dyDescent="0.25">
      <c r="A45" s="16"/>
      <c r="B45" s="17"/>
      <c r="C45" s="17"/>
      <c r="D45" s="21"/>
      <c r="E45" s="18"/>
      <c r="F45" s="20"/>
      <c r="H45" s="19"/>
      <c r="I45" s="9"/>
    </row>
    <row r="46" spans="1:9" s="8" customFormat="1" ht="12" x14ac:dyDescent="0.25">
      <c r="A46" s="16"/>
      <c r="B46" s="17"/>
      <c r="C46" s="17"/>
      <c r="D46" s="21"/>
      <c r="E46" s="18"/>
      <c r="F46" s="20"/>
      <c r="H46" s="19"/>
      <c r="I46" s="9"/>
    </row>
    <row r="47" spans="1:9" s="8" customFormat="1" ht="12" x14ac:dyDescent="0.25">
      <c r="A47" s="16"/>
      <c r="B47" s="17"/>
      <c r="C47" s="17"/>
      <c r="D47" s="21"/>
      <c r="E47" s="18"/>
      <c r="F47" s="20"/>
      <c r="H47" s="19"/>
      <c r="I47" s="9"/>
    </row>
    <row r="48" spans="1:9" s="8" customFormat="1" ht="12" x14ac:dyDescent="0.25">
      <c r="A48" s="16"/>
      <c r="B48" s="17"/>
      <c r="C48" s="17"/>
      <c r="D48" s="21"/>
      <c r="E48" s="18"/>
      <c r="F48" s="20"/>
      <c r="H48" s="19"/>
      <c r="I48" s="9"/>
    </row>
    <row r="49" spans="1:9" s="8" customFormat="1" ht="12" x14ac:dyDescent="0.25">
      <c r="A49" s="16"/>
      <c r="B49" s="17"/>
      <c r="C49" s="17"/>
      <c r="D49" s="21"/>
      <c r="E49" s="18"/>
      <c r="F49" s="20"/>
      <c r="H49" s="19"/>
      <c r="I49" s="9"/>
    </row>
    <row r="50" spans="1:9" s="8" customFormat="1" ht="12" x14ac:dyDescent="0.25">
      <c r="A50" s="16"/>
      <c r="B50" s="17"/>
      <c r="C50" s="17"/>
      <c r="D50" s="21"/>
      <c r="E50" s="18"/>
      <c r="F50" s="20"/>
      <c r="H50" s="19"/>
      <c r="I50" s="9"/>
    </row>
    <row r="51" spans="1:9" s="8" customFormat="1" ht="12" x14ac:dyDescent="0.25">
      <c r="A51" s="16"/>
      <c r="B51" s="17"/>
      <c r="C51" s="17"/>
      <c r="D51" s="21"/>
      <c r="E51" s="18"/>
      <c r="F51" s="20"/>
      <c r="H51" s="19"/>
      <c r="I51" s="9"/>
    </row>
    <row r="52" spans="1:9" s="8" customFormat="1" ht="12" x14ac:dyDescent="0.25">
      <c r="A52" s="16"/>
      <c r="B52" s="17"/>
      <c r="C52" s="17"/>
      <c r="D52" s="21"/>
      <c r="E52" s="18"/>
      <c r="F52" s="20"/>
      <c r="H52" s="19"/>
      <c r="I52" s="9"/>
    </row>
    <row r="53" spans="1:9" s="8" customFormat="1" ht="12" x14ac:dyDescent="0.25">
      <c r="A53" s="16"/>
      <c r="B53" s="17"/>
      <c r="C53" s="17"/>
      <c r="D53" s="21"/>
      <c r="E53" s="18"/>
      <c r="F53" s="20"/>
      <c r="H53" s="19"/>
      <c r="I53" s="9"/>
    </row>
    <row r="54" spans="1:9" s="8" customFormat="1" ht="12" x14ac:dyDescent="0.25">
      <c r="A54" s="16"/>
      <c r="B54" s="17"/>
      <c r="C54" s="17"/>
      <c r="D54" s="21"/>
      <c r="E54" s="18"/>
      <c r="F54" s="20"/>
      <c r="H54" s="19"/>
      <c r="I54" s="9"/>
    </row>
    <row r="55" spans="1:9" s="8" customFormat="1" ht="12" x14ac:dyDescent="0.25">
      <c r="A55" s="16"/>
      <c r="B55" s="17"/>
      <c r="C55" s="17"/>
      <c r="D55" s="21"/>
      <c r="E55" s="18"/>
      <c r="F55" s="20"/>
      <c r="H55" s="19"/>
      <c r="I55" s="9"/>
    </row>
    <row r="56" spans="1:9" s="8" customFormat="1" ht="12" x14ac:dyDescent="0.25">
      <c r="A56" s="16"/>
      <c r="B56" s="17"/>
      <c r="C56" s="17"/>
      <c r="D56" s="21"/>
      <c r="E56" s="18"/>
      <c r="F56" s="20"/>
      <c r="H56" s="19"/>
      <c r="I56" s="9"/>
    </row>
    <row r="57" spans="1:9" s="8" customFormat="1" ht="12" x14ac:dyDescent="0.25">
      <c r="A57" s="16"/>
      <c r="B57" s="17"/>
      <c r="C57" s="17"/>
      <c r="D57" s="21"/>
      <c r="E57" s="18"/>
      <c r="F57" s="20"/>
      <c r="H57" s="19"/>
      <c r="I57" s="9"/>
    </row>
    <row r="58" spans="1:9" s="8" customFormat="1" ht="12" x14ac:dyDescent="0.25">
      <c r="A58" s="16"/>
      <c r="B58" s="17"/>
      <c r="C58" s="17"/>
      <c r="D58" s="21"/>
      <c r="E58" s="18"/>
      <c r="F58" s="20"/>
      <c r="H58" s="19"/>
      <c r="I58" s="9"/>
    </row>
    <row r="59" spans="1:9" s="8" customFormat="1" ht="12" x14ac:dyDescent="0.25">
      <c r="A59" s="16"/>
      <c r="B59" s="17"/>
      <c r="C59" s="17"/>
      <c r="D59" s="21"/>
      <c r="E59" s="18"/>
      <c r="F59" s="20"/>
      <c r="H59" s="19"/>
      <c r="I59" s="9"/>
    </row>
    <row r="60" spans="1:9" s="8" customFormat="1" ht="12" x14ac:dyDescent="0.25">
      <c r="A60" s="16"/>
      <c r="B60" s="17"/>
      <c r="C60" s="17"/>
      <c r="D60" s="21"/>
      <c r="E60" s="18"/>
      <c r="F60" s="20"/>
      <c r="H60" s="19"/>
      <c r="I60" s="9"/>
    </row>
    <row r="61" spans="1:9" s="8" customFormat="1" ht="12" x14ac:dyDescent="0.25">
      <c r="A61" s="16"/>
      <c r="B61" s="17"/>
      <c r="C61" s="17"/>
      <c r="D61" s="21"/>
      <c r="E61" s="18"/>
      <c r="F61" s="20"/>
      <c r="H61" s="19"/>
      <c r="I61" s="9"/>
    </row>
    <row r="62" spans="1:9" s="8" customFormat="1" ht="12" x14ac:dyDescent="0.25">
      <c r="A62" s="16"/>
      <c r="B62" s="17"/>
      <c r="C62" s="17"/>
      <c r="D62" s="21"/>
      <c r="E62" s="18"/>
      <c r="F62" s="20"/>
      <c r="H62" s="19"/>
      <c r="I62" s="9"/>
    </row>
    <row r="63" spans="1:9" s="8" customFormat="1" ht="12" x14ac:dyDescent="0.25">
      <c r="A63" s="16"/>
      <c r="B63" s="17"/>
      <c r="C63" s="17"/>
      <c r="D63" s="21"/>
      <c r="E63" s="18"/>
      <c r="F63" s="20"/>
      <c r="H63" s="19"/>
      <c r="I63" s="9"/>
    </row>
    <row r="64" spans="1:9" s="8" customFormat="1" ht="12" x14ac:dyDescent="0.25">
      <c r="A64" s="16"/>
      <c r="B64" s="17"/>
      <c r="C64" s="17"/>
      <c r="D64" s="21"/>
      <c r="E64" s="18"/>
      <c r="F64" s="20"/>
      <c r="H64" s="19"/>
      <c r="I64" s="9"/>
    </row>
    <row r="65" spans="1:9" s="8" customFormat="1" ht="12" x14ac:dyDescent="0.25">
      <c r="A65" s="16"/>
      <c r="B65" s="17"/>
      <c r="C65" s="17"/>
      <c r="D65" s="21"/>
      <c r="E65" s="18"/>
      <c r="F65" s="20"/>
      <c r="H65" s="19"/>
      <c r="I65" s="9"/>
    </row>
    <row r="66" spans="1:9" s="8" customFormat="1" ht="12" x14ac:dyDescent="0.25">
      <c r="A66" s="16"/>
      <c r="B66" s="17"/>
      <c r="C66" s="17"/>
      <c r="D66" s="21"/>
      <c r="E66" s="18"/>
      <c r="F66" s="20"/>
      <c r="H66" s="19"/>
      <c r="I66" s="9"/>
    </row>
    <row r="67" spans="1:9" s="8" customFormat="1" ht="12" x14ac:dyDescent="0.25">
      <c r="A67" s="16"/>
      <c r="B67" s="17"/>
      <c r="C67" s="17"/>
      <c r="D67" s="21"/>
      <c r="E67" s="18"/>
      <c r="F67" s="20"/>
      <c r="H67" s="19"/>
      <c r="I67" s="9"/>
    </row>
    <row r="68" spans="1:9" s="8" customFormat="1" ht="12" x14ac:dyDescent="0.25">
      <c r="A68" s="16"/>
      <c r="B68" s="17"/>
      <c r="C68" s="17"/>
      <c r="D68" s="21"/>
      <c r="E68" s="18"/>
      <c r="F68" s="20"/>
      <c r="H68" s="19"/>
      <c r="I68" s="9"/>
    </row>
    <row r="69" spans="1:9" s="8" customFormat="1" ht="12" x14ac:dyDescent="0.25">
      <c r="A69" s="16"/>
      <c r="B69" s="17"/>
      <c r="C69" s="17"/>
      <c r="D69" s="21"/>
      <c r="E69" s="18"/>
      <c r="F69" s="20"/>
      <c r="H69" s="19"/>
      <c r="I69" s="9"/>
    </row>
    <row r="70" spans="1:9" s="8" customFormat="1" ht="12" x14ac:dyDescent="0.25">
      <c r="A70" s="16"/>
      <c r="B70" s="17"/>
      <c r="C70" s="17"/>
      <c r="D70" s="21"/>
      <c r="E70" s="18"/>
      <c r="F70" s="20"/>
      <c r="H70" s="19"/>
      <c r="I70" s="9"/>
    </row>
    <row r="71" spans="1:9" s="8" customFormat="1" ht="12" x14ac:dyDescent="0.25">
      <c r="A71" s="16"/>
      <c r="B71" s="17"/>
      <c r="C71" s="17"/>
      <c r="D71" s="21"/>
      <c r="E71" s="18"/>
      <c r="F71" s="20"/>
      <c r="H71" s="19"/>
      <c r="I71" s="9"/>
    </row>
    <row r="72" spans="1:9" s="8" customFormat="1" ht="12" x14ac:dyDescent="0.25">
      <c r="A72" s="16"/>
      <c r="B72" s="17"/>
      <c r="C72" s="17"/>
      <c r="D72" s="21"/>
      <c r="E72" s="18"/>
      <c r="F72" s="20"/>
      <c r="H72" s="19"/>
      <c r="I72" s="9"/>
    </row>
    <row r="73" spans="1:9" s="8" customFormat="1" ht="12" x14ac:dyDescent="0.25">
      <c r="A73" s="16"/>
      <c r="B73" s="17"/>
      <c r="C73" s="17"/>
      <c r="D73" s="21"/>
      <c r="E73" s="18"/>
      <c r="F73" s="20"/>
      <c r="H73" s="19"/>
      <c r="I73" s="9"/>
    </row>
    <row r="74" spans="1:9" s="8" customFormat="1" ht="12" x14ac:dyDescent="0.25">
      <c r="A74" s="16"/>
      <c r="B74" s="17"/>
      <c r="C74" s="17"/>
      <c r="D74" s="21"/>
      <c r="E74" s="18"/>
      <c r="F74" s="20"/>
      <c r="H74" s="19"/>
      <c r="I74" s="9"/>
    </row>
    <row r="75" spans="1:9" s="8" customFormat="1" ht="12" x14ac:dyDescent="0.25">
      <c r="A75" s="16"/>
      <c r="B75" s="17"/>
      <c r="C75" s="17"/>
      <c r="D75" s="21"/>
      <c r="E75" s="18"/>
      <c r="F75" s="20"/>
      <c r="H75" s="19"/>
      <c r="I75" s="9"/>
    </row>
    <row r="76" spans="1:9" s="8" customFormat="1" ht="12" x14ac:dyDescent="0.25">
      <c r="A76" s="16"/>
      <c r="B76" s="17"/>
      <c r="C76" s="17"/>
      <c r="D76" s="21"/>
      <c r="E76" s="18"/>
      <c r="F76" s="20"/>
      <c r="H76" s="19"/>
      <c r="I76" s="9"/>
    </row>
    <row r="77" spans="1:9" s="8" customFormat="1" ht="12" x14ac:dyDescent="0.25">
      <c r="A77" s="16"/>
      <c r="B77" s="17"/>
      <c r="C77" s="17"/>
      <c r="D77" s="21"/>
      <c r="E77" s="18"/>
      <c r="F77" s="20"/>
      <c r="H77" s="19"/>
      <c r="I77" s="9"/>
    </row>
    <row r="78" spans="1:9" s="8" customFormat="1" ht="12" x14ac:dyDescent="0.25">
      <c r="A78" s="16"/>
      <c r="B78" s="17"/>
      <c r="C78" s="17"/>
      <c r="D78" s="21"/>
      <c r="E78" s="18"/>
      <c r="F78" s="20"/>
      <c r="H78" s="19"/>
      <c r="I78" s="9"/>
    </row>
    <row r="79" spans="1:9" s="8" customFormat="1" ht="12" x14ac:dyDescent="0.25">
      <c r="A79" s="16"/>
      <c r="B79" s="17"/>
      <c r="C79" s="17"/>
      <c r="D79" s="21"/>
      <c r="E79" s="18"/>
      <c r="F79" s="20"/>
      <c r="H79" s="19"/>
      <c r="I79" s="9"/>
    </row>
    <row r="80" spans="1:9" s="8" customFormat="1" ht="12" x14ac:dyDescent="0.25">
      <c r="A80" s="16"/>
      <c r="B80" s="17"/>
      <c r="C80" s="17"/>
      <c r="D80" s="21"/>
      <c r="E80" s="18"/>
      <c r="F80" s="20"/>
      <c r="H80" s="19"/>
      <c r="I80" s="9"/>
    </row>
    <row r="81" spans="1:9" s="8" customFormat="1" ht="12" x14ac:dyDescent="0.25">
      <c r="A81" s="16"/>
      <c r="B81" s="17"/>
      <c r="C81" s="17"/>
      <c r="D81" s="21"/>
      <c r="E81" s="18"/>
      <c r="F81" s="20"/>
      <c r="H81" s="19"/>
      <c r="I81" s="9"/>
    </row>
    <row r="82" spans="1:9" s="8" customFormat="1" ht="12" x14ac:dyDescent="0.25">
      <c r="A82" s="16"/>
      <c r="B82" s="17"/>
      <c r="C82" s="17"/>
      <c r="D82" s="21"/>
      <c r="E82" s="18"/>
      <c r="F82" s="20"/>
      <c r="H82" s="19"/>
      <c r="I82" s="9"/>
    </row>
    <row r="83" spans="1:9" s="8" customFormat="1" ht="12" x14ac:dyDescent="0.25">
      <c r="A83" s="16"/>
      <c r="B83" s="17"/>
      <c r="C83" s="17"/>
      <c r="D83" s="21"/>
      <c r="E83" s="18"/>
      <c r="F83" s="20"/>
      <c r="H83" s="19"/>
      <c r="I83" s="9"/>
    </row>
    <row r="84" spans="1:9" s="8" customFormat="1" ht="12" x14ac:dyDescent="0.25">
      <c r="A84" s="16"/>
      <c r="B84" s="17"/>
      <c r="C84" s="17"/>
      <c r="D84" s="21"/>
      <c r="E84" s="18"/>
      <c r="F84" s="20"/>
      <c r="H84" s="19"/>
      <c r="I84" s="9"/>
    </row>
    <row r="85" spans="1:9" s="8" customFormat="1" ht="12" x14ac:dyDescent="0.25">
      <c r="A85" s="16"/>
      <c r="B85" s="17"/>
      <c r="C85" s="17"/>
      <c r="D85" s="21"/>
      <c r="E85" s="18"/>
      <c r="F85" s="20"/>
      <c r="H85" s="19"/>
      <c r="I85" s="9"/>
    </row>
    <row r="86" spans="1:9" s="8" customFormat="1" ht="12" x14ac:dyDescent="0.25">
      <c r="A86" s="16"/>
      <c r="B86" s="17"/>
      <c r="C86" s="17"/>
      <c r="D86" s="21"/>
      <c r="E86" s="18"/>
      <c r="F86" s="20"/>
      <c r="H86" s="19"/>
      <c r="I86" s="9"/>
    </row>
    <row r="87" spans="1:9" s="8" customFormat="1" ht="12" x14ac:dyDescent="0.25">
      <c r="A87" s="16"/>
      <c r="B87" s="17"/>
      <c r="C87" s="17"/>
      <c r="D87" s="21"/>
      <c r="E87" s="18"/>
      <c r="F87" s="20"/>
      <c r="H87" s="19"/>
      <c r="I87" s="9"/>
    </row>
    <row r="88" spans="1:9" s="8" customFormat="1" ht="12" x14ac:dyDescent="0.25">
      <c r="A88" s="16"/>
      <c r="B88" s="17"/>
      <c r="C88" s="17"/>
      <c r="D88" s="21"/>
      <c r="E88" s="18"/>
      <c r="F88" s="20"/>
      <c r="H88" s="19"/>
      <c r="I88" s="9"/>
    </row>
    <row r="89" spans="1:9" s="8" customFormat="1" ht="12" x14ac:dyDescent="0.25">
      <c r="A89" s="16"/>
      <c r="B89" s="17"/>
      <c r="C89" s="17"/>
      <c r="D89" s="21"/>
      <c r="E89" s="18"/>
      <c r="F89" s="20"/>
      <c r="H89" s="19"/>
      <c r="I89" s="9"/>
    </row>
    <row r="90" spans="1:9" s="8" customFormat="1" ht="12" x14ac:dyDescent="0.25">
      <c r="A90" s="16"/>
      <c r="B90" s="17"/>
      <c r="C90" s="17"/>
      <c r="D90" s="21"/>
      <c r="E90" s="18"/>
      <c r="F90" s="20"/>
      <c r="H90" s="19"/>
      <c r="I90" s="9"/>
    </row>
    <row r="91" spans="1:9" s="8" customFormat="1" ht="12" x14ac:dyDescent="0.25">
      <c r="A91" s="16"/>
      <c r="B91" s="17"/>
      <c r="C91" s="17"/>
      <c r="D91" s="21"/>
      <c r="E91" s="18"/>
      <c r="F91" s="20"/>
      <c r="H91" s="19"/>
      <c r="I91" s="9"/>
    </row>
    <row r="92" spans="1:9" s="8" customFormat="1" ht="12" x14ac:dyDescent="0.25">
      <c r="A92" s="16"/>
      <c r="B92" s="17"/>
      <c r="C92" s="17"/>
      <c r="D92" s="21"/>
      <c r="E92" s="18"/>
      <c r="F92" s="20"/>
      <c r="H92" s="19"/>
      <c r="I92" s="9"/>
    </row>
    <row r="93" spans="1:9" s="8" customFormat="1" ht="12" x14ac:dyDescent="0.25">
      <c r="A93" s="16"/>
      <c r="B93" s="17"/>
      <c r="C93" s="17"/>
      <c r="D93" s="21"/>
      <c r="E93" s="18"/>
      <c r="F93" s="20"/>
      <c r="H93" s="19"/>
      <c r="I93" s="9"/>
    </row>
    <row r="94" spans="1:9" s="8" customFormat="1" ht="12" x14ac:dyDescent="0.25">
      <c r="A94" s="16"/>
      <c r="B94" s="17"/>
      <c r="C94" s="17"/>
      <c r="D94" s="21"/>
      <c r="E94" s="18"/>
      <c r="F94" s="20"/>
      <c r="H94" s="19"/>
      <c r="I94" s="9"/>
    </row>
    <row r="95" spans="1:9" s="8" customFormat="1" ht="12" x14ac:dyDescent="0.25">
      <c r="A95" s="16"/>
      <c r="B95" s="17"/>
      <c r="C95" s="17"/>
      <c r="D95" s="21"/>
      <c r="E95" s="18"/>
      <c r="F95" s="20"/>
      <c r="H95" s="19"/>
      <c r="I95" s="9"/>
    </row>
    <row r="96" spans="1:9" s="8" customFormat="1" ht="12" x14ac:dyDescent="0.25">
      <c r="A96" s="16"/>
      <c r="B96" s="17"/>
      <c r="C96" s="17"/>
      <c r="D96" s="21"/>
      <c r="E96" s="18"/>
      <c r="F96" s="20"/>
      <c r="H96" s="19"/>
      <c r="I96" s="9"/>
    </row>
    <row r="97" spans="1:9" s="8" customFormat="1" ht="12" x14ac:dyDescent="0.25">
      <c r="A97" s="16"/>
      <c r="B97" s="17"/>
      <c r="C97" s="17"/>
      <c r="D97" s="21"/>
      <c r="E97" s="18"/>
      <c r="F97" s="20"/>
      <c r="H97" s="19"/>
      <c r="I97" s="9"/>
    </row>
    <row r="98" spans="1:9" s="8" customFormat="1" ht="12" x14ac:dyDescent="0.25">
      <c r="A98" s="16"/>
      <c r="B98" s="17"/>
      <c r="C98" s="17"/>
      <c r="D98" s="21"/>
      <c r="E98" s="18"/>
      <c r="F98" s="20"/>
      <c r="H98" s="19"/>
      <c r="I98" s="9"/>
    </row>
    <row r="99" spans="1:9" s="8" customFormat="1" ht="12" x14ac:dyDescent="0.25">
      <c r="A99" s="16"/>
      <c r="B99" s="17"/>
      <c r="C99" s="17"/>
      <c r="D99" s="21"/>
      <c r="E99" s="18"/>
      <c r="F99" s="20"/>
      <c r="H99" s="19"/>
      <c r="I99" s="9"/>
    </row>
    <row r="100" spans="1:9" s="8" customFormat="1" ht="12" x14ac:dyDescent="0.25">
      <c r="A100" s="16"/>
      <c r="B100" s="17"/>
      <c r="C100" s="17"/>
      <c r="D100" s="21"/>
      <c r="E100" s="18"/>
      <c r="F100" s="20"/>
      <c r="H100" s="19"/>
      <c r="I100" s="9"/>
    </row>
    <row r="101" spans="1:9" s="8" customFormat="1" ht="12" x14ac:dyDescent="0.25">
      <c r="A101" s="16"/>
      <c r="B101" s="17"/>
      <c r="C101" s="17"/>
      <c r="D101" s="21"/>
      <c r="E101" s="18"/>
      <c r="F101" s="20"/>
      <c r="H101" s="19"/>
      <c r="I101" s="9"/>
    </row>
    <row r="102" spans="1:9" s="8" customFormat="1" ht="12" x14ac:dyDescent="0.25">
      <c r="A102" s="16"/>
      <c r="B102" s="17"/>
      <c r="C102" s="17"/>
      <c r="D102" s="21"/>
      <c r="E102" s="18"/>
      <c r="F102" s="20"/>
      <c r="H102" s="19"/>
      <c r="I102" s="9"/>
    </row>
    <row r="103" spans="1:9" s="8" customFormat="1" ht="12" x14ac:dyDescent="0.25">
      <c r="A103" s="16"/>
      <c r="B103" s="17"/>
      <c r="C103" s="17"/>
      <c r="D103" s="21"/>
      <c r="E103" s="18"/>
      <c r="F103" s="20"/>
      <c r="H103" s="19"/>
      <c r="I103" s="9"/>
    </row>
    <row r="104" spans="1:9" s="8" customFormat="1" ht="12" x14ac:dyDescent="0.25">
      <c r="A104" s="16"/>
      <c r="B104" s="17"/>
      <c r="C104" s="17"/>
      <c r="D104" s="21"/>
      <c r="E104" s="18"/>
      <c r="F104" s="20"/>
      <c r="H104" s="19"/>
      <c r="I104" s="9"/>
    </row>
    <row r="105" spans="1:9" s="8" customFormat="1" ht="12" x14ac:dyDescent="0.25">
      <c r="A105" s="16"/>
      <c r="B105" s="17"/>
      <c r="C105" s="17"/>
      <c r="D105" s="21"/>
      <c r="E105" s="18"/>
      <c r="F105" s="20"/>
      <c r="H105" s="19"/>
      <c r="I105" s="9"/>
    </row>
    <row r="106" spans="1:9" s="8" customFormat="1" ht="12" x14ac:dyDescent="0.25">
      <c r="A106" s="16"/>
      <c r="B106" s="17"/>
      <c r="C106" s="17"/>
      <c r="D106" s="21"/>
      <c r="E106" s="18"/>
      <c r="F106" s="20"/>
      <c r="H106" s="19"/>
      <c r="I106" s="9"/>
    </row>
    <row r="107" spans="1:9" s="8" customFormat="1" ht="12" x14ac:dyDescent="0.25">
      <c r="A107" s="16"/>
      <c r="B107" s="17"/>
      <c r="C107" s="17"/>
      <c r="D107" s="21"/>
      <c r="E107" s="18"/>
      <c r="F107" s="20"/>
      <c r="H107" s="19"/>
      <c r="I107" s="9"/>
    </row>
    <row r="108" spans="1:9" s="8" customFormat="1" ht="12" x14ac:dyDescent="0.25">
      <c r="A108" s="16"/>
      <c r="B108" s="17"/>
      <c r="C108" s="17"/>
      <c r="D108" s="21"/>
      <c r="E108" s="18"/>
      <c r="F108" s="20"/>
      <c r="H108" s="19"/>
      <c r="I108" s="9"/>
    </row>
    <row r="109" spans="1:9" s="8" customFormat="1" ht="12" x14ac:dyDescent="0.25">
      <c r="A109" s="16"/>
      <c r="B109" s="17"/>
      <c r="C109" s="17"/>
      <c r="D109" s="21"/>
      <c r="E109" s="18"/>
      <c r="F109" s="20"/>
      <c r="H109" s="19"/>
      <c r="I109" s="9"/>
    </row>
    <row r="110" spans="1:9" s="8" customFormat="1" ht="12" x14ac:dyDescent="0.25">
      <c r="A110" s="16"/>
      <c r="B110" s="17"/>
      <c r="C110" s="17"/>
      <c r="D110" s="21"/>
      <c r="E110" s="18"/>
      <c r="F110" s="20"/>
      <c r="H110" s="19"/>
      <c r="I110" s="9"/>
    </row>
    <row r="111" spans="1:9" s="8" customFormat="1" ht="12" x14ac:dyDescent="0.25">
      <c r="A111" s="16"/>
      <c r="B111" s="17"/>
      <c r="C111" s="17"/>
      <c r="D111" s="21"/>
      <c r="E111" s="18"/>
      <c r="F111" s="20"/>
      <c r="H111" s="19"/>
      <c r="I111" s="9"/>
    </row>
    <row r="112" spans="1:9" s="8" customFormat="1" ht="12" x14ac:dyDescent="0.25">
      <c r="A112" s="16"/>
      <c r="B112" s="17"/>
      <c r="C112" s="17"/>
      <c r="D112" s="21"/>
      <c r="E112" s="18"/>
      <c r="F112" s="20"/>
      <c r="H112" s="19"/>
      <c r="I112" s="9"/>
    </row>
    <row r="113" spans="1:9" s="8" customFormat="1" ht="12" x14ac:dyDescent="0.25">
      <c r="A113" s="16"/>
      <c r="B113" s="17"/>
      <c r="C113" s="17"/>
      <c r="D113" s="21"/>
      <c r="E113" s="18"/>
      <c r="F113" s="20"/>
      <c r="H113" s="19"/>
      <c r="I113" s="9"/>
    </row>
    <row r="114" spans="1:9" s="8" customFormat="1" ht="12" x14ac:dyDescent="0.25">
      <c r="A114" s="16"/>
      <c r="B114" s="17"/>
      <c r="C114" s="17"/>
      <c r="D114" s="21"/>
      <c r="E114" s="18"/>
      <c r="F114" s="20"/>
      <c r="H114" s="19"/>
      <c r="I114" s="9"/>
    </row>
    <row r="115" spans="1:9" s="8" customFormat="1" ht="12" x14ac:dyDescent="0.25">
      <c r="A115" s="16"/>
      <c r="B115" s="17"/>
      <c r="C115" s="17"/>
      <c r="D115" s="21"/>
      <c r="E115" s="18"/>
      <c r="F115" s="20"/>
      <c r="H115" s="19"/>
      <c r="I115" s="9"/>
    </row>
    <row r="116" spans="1:9" s="8" customFormat="1" ht="12" x14ac:dyDescent="0.25">
      <c r="A116" s="16"/>
      <c r="B116" s="17"/>
      <c r="C116" s="17"/>
      <c r="D116" s="21"/>
      <c r="E116" s="18"/>
      <c r="F116" s="20"/>
      <c r="H116" s="19"/>
      <c r="I116" s="9"/>
    </row>
    <row r="117" spans="1:9" s="8" customFormat="1" ht="12" x14ac:dyDescent="0.25">
      <c r="A117" s="16"/>
      <c r="B117" s="17"/>
      <c r="C117" s="17"/>
      <c r="D117" s="21"/>
      <c r="E117" s="18"/>
      <c r="F117" s="20"/>
      <c r="H117" s="19"/>
      <c r="I117" s="9"/>
    </row>
    <row r="118" spans="1:9" s="8" customFormat="1" ht="12" x14ac:dyDescent="0.25">
      <c r="A118" s="16"/>
      <c r="B118" s="17"/>
      <c r="C118" s="17"/>
      <c r="D118" s="21"/>
      <c r="E118" s="18"/>
      <c r="F118" s="20"/>
      <c r="H118" s="19"/>
      <c r="I118" s="9"/>
    </row>
    <row r="119" spans="1:9" s="8" customFormat="1" ht="12" x14ac:dyDescent="0.25">
      <c r="A119" s="16"/>
      <c r="B119" s="17"/>
      <c r="C119" s="17"/>
      <c r="D119" s="21"/>
      <c r="E119" s="18"/>
      <c r="F119" s="20"/>
      <c r="H119" s="19"/>
      <c r="I119" s="9"/>
    </row>
    <row r="120" spans="1:9" s="8" customFormat="1" ht="12" x14ac:dyDescent="0.25">
      <c r="A120" s="16"/>
      <c r="B120" s="17"/>
      <c r="C120" s="17"/>
      <c r="D120" s="21"/>
      <c r="E120" s="18"/>
      <c r="F120" s="20"/>
      <c r="H120" s="19"/>
      <c r="I120" s="9"/>
    </row>
    <row r="121" spans="1:9" s="8" customFormat="1" ht="12" x14ac:dyDescent="0.25">
      <c r="A121" s="16"/>
      <c r="B121" s="17"/>
      <c r="C121" s="17"/>
      <c r="D121" s="21"/>
      <c r="E121" s="18"/>
      <c r="F121" s="20"/>
      <c r="H121" s="19"/>
      <c r="I121" s="9"/>
    </row>
    <row r="122" spans="1:9" s="8" customFormat="1" ht="12" x14ac:dyDescent="0.25">
      <c r="A122" s="16"/>
      <c r="B122" s="17"/>
      <c r="C122" s="17"/>
      <c r="D122" s="21"/>
      <c r="E122" s="18"/>
      <c r="F122" s="20"/>
      <c r="H122" s="19"/>
      <c r="I122" s="9"/>
    </row>
    <row r="123" spans="1:9" s="8" customFormat="1" ht="12" x14ac:dyDescent="0.25">
      <c r="A123" s="16"/>
      <c r="B123" s="17"/>
      <c r="C123" s="17"/>
      <c r="D123" s="21"/>
      <c r="E123" s="18"/>
      <c r="F123" s="20"/>
      <c r="H123" s="19"/>
      <c r="I123" s="9"/>
    </row>
    <row r="124" spans="1:9" s="8" customFormat="1" ht="12" x14ac:dyDescent="0.25">
      <c r="A124" s="16"/>
      <c r="B124" s="17"/>
      <c r="C124" s="17"/>
      <c r="D124" s="21"/>
      <c r="E124" s="18"/>
      <c r="F124" s="20"/>
      <c r="H124" s="19"/>
      <c r="I124" s="9"/>
    </row>
    <row r="125" spans="1:9" s="8" customFormat="1" ht="12" x14ac:dyDescent="0.25">
      <c r="A125" s="16"/>
      <c r="B125" s="17"/>
      <c r="C125" s="17"/>
      <c r="D125" s="21"/>
      <c r="E125" s="18"/>
      <c r="F125" s="20"/>
      <c r="H125" s="19"/>
      <c r="I125" s="9"/>
    </row>
    <row r="126" spans="1:9" s="8" customFormat="1" ht="12" x14ac:dyDescent="0.25">
      <c r="A126" s="16"/>
      <c r="B126" s="17"/>
      <c r="C126" s="17"/>
      <c r="D126" s="21"/>
      <c r="E126" s="18"/>
      <c r="F126" s="20"/>
      <c r="H126" s="19"/>
      <c r="I126" s="9"/>
    </row>
    <row r="127" spans="1:9" s="8" customFormat="1" ht="12" x14ac:dyDescent="0.25">
      <c r="A127" s="16"/>
      <c r="B127" s="17"/>
      <c r="C127" s="17"/>
      <c r="D127" s="21"/>
      <c r="E127" s="18"/>
      <c r="F127" s="20"/>
      <c r="H127" s="19"/>
      <c r="I127" s="9"/>
    </row>
    <row r="128" spans="1:9" s="8" customFormat="1" ht="12" x14ac:dyDescent="0.25">
      <c r="A128" s="16"/>
      <c r="B128" s="17"/>
      <c r="C128" s="17"/>
      <c r="D128" s="21"/>
      <c r="E128" s="18"/>
      <c r="F128" s="20"/>
      <c r="H128" s="19"/>
      <c r="I128" s="9"/>
    </row>
    <row r="129" spans="1:9" s="8" customFormat="1" ht="12" x14ac:dyDescent="0.25">
      <c r="A129" s="16"/>
      <c r="B129" s="17"/>
      <c r="C129" s="17"/>
      <c r="D129" s="21"/>
      <c r="E129" s="18"/>
      <c r="F129" s="20"/>
      <c r="H129" s="19"/>
      <c r="I129" s="9"/>
    </row>
    <row r="130" spans="1:9" s="8" customFormat="1" ht="12" x14ac:dyDescent="0.25">
      <c r="A130" s="16"/>
      <c r="B130" s="17"/>
      <c r="C130" s="17"/>
      <c r="D130" s="21"/>
      <c r="E130" s="18"/>
      <c r="F130" s="20"/>
      <c r="H130" s="19"/>
      <c r="I130" s="9"/>
    </row>
    <row r="131" spans="1:9" s="8" customFormat="1" ht="12" x14ac:dyDescent="0.25">
      <c r="A131" s="16"/>
      <c r="B131" s="17"/>
      <c r="C131" s="17"/>
      <c r="D131" s="21"/>
      <c r="E131" s="18"/>
      <c r="F131" s="20"/>
      <c r="H131" s="19"/>
      <c r="I131" s="9"/>
    </row>
    <row r="132" spans="1:9" s="8" customFormat="1" ht="12" x14ac:dyDescent="0.25">
      <c r="A132" s="16"/>
      <c r="B132" s="17"/>
      <c r="C132" s="17"/>
      <c r="D132" s="21"/>
      <c r="E132" s="18"/>
      <c r="F132" s="20"/>
      <c r="H132" s="19"/>
      <c r="I132" s="9"/>
    </row>
    <row r="133" spans="1:9" s="8" customFormat="1" ht="12" x14ac:dyDescent="0.25">
      <c r="A133" s="16"/>
      <c r="B133" s="17"/>
      <c r="C133" s="17"/>
      <c r="D133" s="21"/>
      <c r="E133" s="18"/>
      <c r="F133" s="20"/>
      <c r="H133" s="19"/>
      <c r="I133" s="9"/>
    </row>
    <row r="134" spans="1:9" s="8" customFormat="1" ht="12" x14ac:dyDescent="0.25">
      <c r="A134" s="16"/>
      <c r="B134" s="17"/>
      <c r="C134" s="17"/>
      <c r="D134" s="21"/>
      <c r="E134" s="18"/>
      <c r="F134" s="20"/>
      <c r="H134" s="19"/>
      <c r="I134" s="9"/>
    </row>
    <row r="135" spans="1:9" s="8" customFormat="1" ht="12" x14ac:dyDescent="0.25">
      <c r="A135" s="16"/>
      <c r="B135" s="17"/>
      <c r="C135" s="17"/>
      <c r="D135" s="21"/>
      <c r="E135" s="18"/>
      <c r="F135" s="20"/>
      <c r="H135" s="19"/>
      <c r="I135" s="9"/>
    </row>
    <row r="136" spans="1:9" s="8" customFormat="1" ht="12" x14ac:dyDescent="0.25">
      <c r="A136" s="16"/>
      <c r="B136" s="17"/>
      <c r="C136" s="17"/>
      <c r="D136" s="21"/>
      <c r="E136" s="18"/>
      <c r="F136" s="20"/>
      <c r="H136" s="19"/>
      <c r="I136" s="9"/>
    </row>
    <row r="137" spans="1:9" s="8" customFormat="1" ht="12" x14ac:dyDescent="0.25">
      <c r="A137" s="16"/>
      <c r="B137" s="17"/>
      <c r="C137" s="17"/>
      <c r="D137" s="21"/>
      <c r="E137" s="18"/>
      <c r="F137" s="20"/>
      <c r="H137" s="19"/>
      <c r="I137" s="9"/>
    </row>
    <row r="138" spans="1:9" s="8" customFormat="1" ht="12" x14ac:dyDescent="0.25">
      <c r="A138" s="16"/>
      <c r="B138" s="17"/>
      <c r="C138" s="17"/>
      <c r="D138" s="21"/>
      <c r="E138" s="18"/>
      <c r="F138" s="20"/>
      <c r="H138" s="19"/>
      <c r="I138" s="9"/>
    </row>
    <row r="139" spans="1:9" s="8" customFormat="1" ht="12" x14ac:dyDescent="0.25">
      <c r="A139" s="16"/>
      <c r="B139" s="17"/>
      <c r="C139" s="17"/>
      <c r="D139" s="21"/>
      <c r="E139" s="18"/>
      <c r="F139" s="20"/>
      <c r="H139" s="19"/>
      <c r="I139" s="9"/>
    </row>
    <row r="140" spans="1:9" s="8" customFormat="1" ht="12" x14ac:dyDescent="0.25">
      <c r="A140" s="16"/>
      <c r="B140" s="17"/>
      <c r="C140" s="17"/>
      <c r="D140" s="21"/>
      <c r="E140" s="18"/>
      <c r="F140" s="20"/>
      <c r="H140" s="19"/>
      <c r="I140" s="9"/>
    </row>
    <row r="141" spans="1:9" s="8" customFormat="1" ht="12" x14ac:dyDescent="0.25">
      <c r="A141" s="16"/>
      <c r="B141" s="17"/>
      <c r="C141" s="17"/>
      <c r="D141" s="21"/>
      <c r="E141" s="18"/>
      <c r="F141" s="20"/>
      <c r="H141" s="19"/>
      <c r="I141" s="9"/>
    </row>
    <row r="142" spans="1:9" s="8" customFormat="1" ht="12" x14ac:dyDescent="0.25">
      <c r="A142" s="16"/>
      <c r="B142" s="17"/>
      <c r="C142" s="17"/>
      <c r="D142" s="21"/>
      <c r="E142" s="18"/>
      <c r="F142" s="20"/>
      <c r="H142" s="19"/>
      <c r="I142" s="9"/>
    </row>
    <row r="143" spans="1:9" s="8" customFormat="1" ht="12" x14ac:dyDescent="0.25">
      <c r="A143" s="16"/>
      <c r="B143" s="17"/>
      <c r="C143" s="17"/>
      <c r="D143" s="21"/>
      <c r="E143" s="18"/>
      <c r="F143" s="20"/>
      <c r="H143" s="19"/>
      <c r="I143" s="9"/>
    </row>
    <row r="144" spans="1:9" s="8" customFormat="1" ht="12" x14ac:dyDescent="0.25">
      <c r="A144" s="16"/>
      <c r="B144" s="17"/>
      <c r="C144" s="17"/>
      <c r="D144" s="21"/>
      <c r="E144" s="18"/>
      <c r="F144" s="20"/>
      <c r="H144" s="19"/>
      <c r="I144" s="9"/>
    </row>
    <row r="145" spans="1:9" s="8" customFormat="1" ht="12" x14ac:dyDescent="0.25">
      <c r="A145" s="16"/>
      <c r="B145" s="17"/>
      <c r="C145" s="17"/>
      <c r="D145" s="21"/>
      <c r="E145" s="18"/>
      <c r="F145" s="20"/>
      <c r="H145" s="19"/>
      <c r="I145" s="9"/>
    </row>
    <row r="146" spans="1:9" s="8" customFormat="1" ht="12" x14ac:dyDescent="0.25">
      <c r="A146" s="16"/>
      <c r="B146" s="17"/>
      <c r="C146" s="17"/>
      <c r="D146" s="21"/>
      <c r="E146" s="18"/>
      <c r="F146" s="20"/>
      <c r="H146" s="19"/>
      <c r="I146" s="9"/>
    </row>
    <row r="147" spans="1:9" s="8" customFormat="1" ht="12" x14ac:dyDescent="0.25">
      <c r="A147" s="16"/>
      <c r="B147" s="17"/>
      <c r="C147" s="17"/>
      <c r="D147" s="21"/>
      <c r="E147" s="18"/>
      <c r="F147" s="20"/>
      <c r="H147" s="19"/>
      <c r="I147" s="9"/>
    </row>
    <row r="148" spans="1:9" s="8" customFormat="1" ht="12" x14ac:dyDescent="0.25">
      <c r="A148" s="16"/>
      <c r="B148" s="17"/>
      <c r="C148" s="17"/>
      <c r="D148" s="21"/>
      <c r="E148" s="18"/>
      <c r="F148" s="20"/>
      <c r="H148" s="19"/>
      <c r="I148" s="9"/>
    </row>
    <row r="149" spans="1:9" s="8" customFormat="1" ht="12" x14ac:dyDescent="0.25">
      <c r="A149" s="16"/>
      <c r="B149" s="17"/>
      <c r="C149" s="17"/>
      <c r="D149" s="21"/>
      <c r="E149" s="18"/>
      <c r="F149" s="20"/>
      <c r="H149" s="19"/>
      <c r="I149" s="9"/>
    </row>
    <row r="150" spans="1:9" s="8" customFormat="1" ht="12" x14ac:dyDescent="0.25">
      <c r="A150" s="16"/>
      <c r="B150" s="17"/>
      <c r="C150" s="17"/>
      <c r="D150" s="21"/>
      <c r="E150" s="18"/>
      <c r="F150" s="20"/>
      <c r="H150" s="19"/>
      <c r="I150" s="9"/>
    </row>
    <row r="151" spans="1:9" s="8" customFormat="1" ht="12" x14ac:dyDescent="0.25">
      <c r="A151" s="16"/>
      <c r="B151" s="17"/>
      <c r="C151" s="17"/>
      <c r="D151" s="21"/>
      <c r="E151" s="18"/>
      <c r="F151" s="20"/>
      <c r="H151" s="19"/>
      <c r="I151" s="9"/>
    </row>
    <row r="152" spans="1:9" s="8" customFormat="1" ht="12" x14ac:dyDescent="0.25">
      <c r="A152" s="16"/>
      <c r="B152" s="17"/>
      <c r="C152" s="17"/>
      <c r="D152" s="21"/>
      <c r="E152" s="18"/>
      <c r="F152" s="20"/>
      <c r="H152" s="19"/>
      <c r="I152" s="9"/>
    </row>
    <row r="153" spans="1:9" s="8" customFormat="1" ht="12" x14ac:dyDescent="0.25">
      <c r="A153" s="16"/>
      <c r="B153" s="17"/>
      <c r="C153" s="17"/>
      <c r="D153" s="21"/>
      <c r="E153" s="18"/>
      <c r="F153" s="20"/>
      <c r="H153" s="19"/>
      <c r="I153" s="9"/>
    </row>
    <row r="154" spans="1:9" s="8" customFormat="1" ht="12" x14ac:dyDescent="0.25">
      <c r="A154" s="16"/>
      <c r="B154" s="17"/>
      <c r="C154" s="17"/>
      <c r="D154" s="21"/>
      <c r="E154" s="18"/>
      <c r="F154" s="20"/>
      <c r="H154" s="19"/>
      <c r="I154" s="9"/>
    </row>
    <row r="155" spans="1:9" s="8" customFormat="1" ht="12" x14ac:dyDescent="0.25">
      <c r="A155" s="16"/>
      <c r="B155" s="17"/>
      <c r="C155" s="17"/>
      <c r="D155" s="21"/>
      <c r="E155" s="18"/>
      <c r="F155" s="20"/>
      <c r="H155" s="19"/>
      <c r="I155" s="9"/>
    </row>
    <row r="156" spans="1:9" s="8" customFormat="1" ht="12" x14ac:dyDescent="0.25">
      <c r="A156" s="16"/>
      <c r="B156" s="17"/>
      <c r="C156" s="17"/>
      <c r="D156" s="21"/>
      <c r="E156" s="18"/>
      <c r="F156" s="20"/>
      <c r="H156" s="19"/>
      <c r="I156" s="9"/>
    </row>
    <row r="157" spans="1:9" s="8" customFormat="1" ht="12" x14ac:dyDescent="0.25">
      <c r="A157" s="16"/>
      <c r="B157" s="17"/>
      <c r="C157" s="17"/>
      <c r="D157" s="21"/>
      <c r="E157" s="18"/>
      <c r="F157" s="20"/>
      <c r="H157" s="19"/>
      <c r="I157" s="9"/>
    </row>
    <row r="158" spans="1:9" s="8" customFormat="1" ht="12" x14ac:dyDescent="0.25">
      <c r="A158" s="16"/>
      <c r="B158" s="17"/>
      <c r="C158" s="17"/>
      <c r="D158" s="21"/>
      <c r="E158" s="18"/>
      <c r="F158" s="20"/>
      <c r="H158" s="19"/>
      <c r="I158" s="9"/>
    </row>
    <row r="159" spans="1:9" s="8" customFormat="1" ht="12" x14ac:dyDescent="0.25">
      <c r="A159" s="16"/>
      <c r="B159" s="17"/>
      <c r="C159" s="17"/>
      <c r="D159" s="21"/>
      <c r="E159" s="18"/>
      <c r="F159" s="20"/>
      <c r="H159" s="19"/>
      <c r="I159" s="9"/>
    </row>
    <row r="160" spans="1:9" s="8" customFormat="1" ht="12" x14ac:dyDescent="0.25">
      <c r="A160" s="16"/>
      <c r="B160" s="17"/>
      <c r="C160" s="17"/>
      <c r="D160" s="21"/>
      <c r="E160" s="18"/>
      <c r="F160" s="20"/>
      <c r="H160" s="19"/>
      <c r="I160" s="9"/>
    </row>
    <row r="161" spans="1:9" s="8" customFormat="1" ht="12" x14ac:dyDescent="0.25">
      <c r="A161" s="16"/>
      <c r="B161" s="17"/>
      <c r="C161" s="17"/>
      <c r="D161" s="21"/>
      <c r="E161" s="18"/>
      <c r="F161" s="20"/>
      <c r="H161" s="19"/>
      <c r="I161" s="9"/>
    </row>
    <row r="162" spans="1:9" s="8" customFormat="1" ht="12" x14ac:dyDescent="0.25">
      <c r="A162" s="16"/>
      <c r="B162" s="17"/>
      <c r="C162" s="17"/>
      <c r="D162" s="21"/>
      <c r="E162" s="18"/>
      <c r="F162" s="20"/>
      <c r="H162" s="19"/>
      <c r="I162" s="9"/>
    </row>
    <row r="163" spans="1:9" s="8" customFormat="1" ht="12" x14ac:dyDescent="0.25">
      <c r="A163" s="16"/>
      <c r="B163" s="17"/>
      <c r="C163" s="17"/>
      <c r="D163" s="21"/>
      <c r="E163" s="18"/>
      <c r="F163" s="20"/>
      <c r="H163" s="19"/>
      <c r="I163" s="9"/>
    </row>
    <row r="164" spans="1:9" s="8" customFormat="1" ht="12" x14ac:dyDescent="0.25">
      <c r="A164" s="16"/>
      <c r="B164" s="17"/>
      <c r="C164" s="17"/>
      <c r="D164" s="21"/>
      <c r="E164" s="18"/>
      <c r="F164" s="20"/>
      <c r="H164" s="19"/>
      <c r="I164" s="9"/>
    </row>
    <row r="165" spans="1:9" s="8" customFormat="1" ht="12" x14ac:dyDescent="0.25">
      <c r="A165" s="16"/>
      <c r="B165" s="17"/>
      <c r="C165" s="17"/>
      <c r="D165" s="21"/>
      <c r="E165" s="18"/>
      <c r="F165" s="20"/>
      <c r="H165" s="19"/>
      <c r="I165" s="9"/>
    </row>
    <row r="166" spans="1:9" s="8" customFormat="1" ht="12" x14ac:dyDescent="0.25">
      <c r="A166" s="16"/>
      <c r="B166" s="17"/>
      <c r="C166" s="17"/>
      <c r="D166" s="21"/>
      <c r="E166" s="18"/>
      <c r="F166" s="20"/>
      <c r="H166" s="19"/>
      <c r="I166" s="9"/>
    </row>
    <row r="167" spans="1:9" s="8" customFormat="1" ht="12" x14ac:dyDescent="0.25">
      <c r="A167" s="16"/>
      <c r="B167" s="17"/>
      <c r="C167" s="17"/>
      <c r="D167" s="21"/>
      <c r="E167" s="18"/>
      <c r="F167" s="20"/>
      <c r="H167" s="19"/>
      <c r="I167" s="9"/>
    </row>
    <row r="168" spans="1:9" s="8" customFormat="1" ht="12" x14ac:dyDescent="0.25">
      <c r="A168" s="16"/>
      <c r="B168" s="17"/>
      <c r="C168" s="17"/>
      <c r="D168" s="21"/>
      <c r="E168" s="18"/>
      <c r="F168" s="20"/>
      <c r="H168" s="19"/>
      <c r="I168" s="9"/>
    </row>
    <row r="169" spans="1:9" s="8" customFormat="1" ht="12" x14ac:dyDescent="0.25">
      <c r="A169" s="16"/>
      <c r="B169" s="17"/>
      <c r="C169" s="17"/>
      <c r="D169" s="21"/>
      <c r="E169" s="18"/>
      <c r="F169" s="20"/>
      <c r="H169" s="19"/>
      <c r="I169" s="9"/>
    </row>
    <row r="170" spans="1:9" s="8" customFormat="1" ht="12" x14ac:dyDescent="0.25">
      <c r="A170" s="16"/>
      <c r="B170" s="17"/>
      <c r="C170" s="17"/>
      <c r="D170" s="21"/>
      <c r="E170" s="18"/>
      <c r="F170" s="20"/>
      <c r="H170" s="19"/>
      <c r="I170" s="9"/>
    </row>
    <row r="171" spans="1:9" s="8" customFormat="1" ht="12" x14ac:dyDescent="0.25">
      <c r="A171" s="16"/>
      <c r="B171" s="17"/>
      <c r="C171" s="17"/>
      <c r="D171" s="21"/>
      <c r="E171" s="18"/>
      <c r="F171" s="20"/>
      <c r="H171" s="19"/>
      <c r="I171" s="9"/>
    </row>
    <row r="172" spans="1:9" s="8" customFormat="1" ht="12" x14ac:dyDescent="0.25">
      <c r="A172" s="16"/>
      <c r="B172" s="17"/>
      <c r="C172" s="17"/>
      <c r="D172" s="21"/>
      <c r="E172" s="18"/>
      <c r="F172" s="20"/>
      <c r="H172" s="19"/>
      <c r="I172" s="9"/>
    </row>
    <row r="173" spans="1:9" s="8" customFormat="1" ht="12" x14ac:dyDescent="0.25">
      <c r="A173" s="16"/>
      <c r="B173" s="17"/>
      <c r="C173" s="17"/>
      <c r="D173" s="21"/>
      <c r="E173" s="18"/>
      <c r="F173" s="20"/>
      <c r="H173" s="19"/>
      <c r="I173" s="9"/>
    </row>
    <row r="174" spans="1:9" s="8" customFormat="1" ht="12" x14ac:dyDescent="0.25">
      <c r="A174" s="16"/>
      <c r="B174" s="17"/>
      <c r="C174" s="17"/>
      <c r="D174" s="21"/>
      <c r="E174" s="18"/>
      <c r="F174" s="20"/>
      <c r="H174" s="19"/>
      <c r="I174" s="9"/>
    </row>
    <row r="175" spans="1:9" s="8" customFormat="1" ht="12" x14ac:dyDescent="0.25">
      <c r="A175" s="16"/>
      <c r="B175" s="17"/>
      <c r="C175" s="17"/>
      <c r="D175" s="21"/>
      <c r="E175" s="18"/>
      <c r="F175" s="20"/>
      <c r="H175" s="19"/>
      <c r="I175" s="9"/>
    </row>
    <row r="176" spans="1:9" s="8" customFormat="1" ht="12" x14ac:dyDescent="0.25">
      <c r="A176" s="16"/>
      <c r="B176" s="17"/>
      <c r="C176" s="17"/>
      <c r="D176" s="21"/>
      <c r="E176" s="18"/>
      <c r="F176" s="20"/>
      <c r="H176" s="19"/>
      <c r="I176" s="9"/>
    </row>
    <row r="177" spans="1:9" s="8" customFormat="1" ht="12" x14ac:dyDescent="0.25">
      <c r="A177" s="16"/>
      <c r="B177" s="17"/>
      <c r="C177" s="17"/>
      <c r="D177" s="21"/>
      <c r="E177" s="18"/>
      <c r="F177" s="20"/>
      <c r="H177" s="19"/>
      <c r="I177" s="9"/>
    </row>
    <row r="178" spans="1:9" s="8" customFormat="1" ht="12" x14ac:dyDescent="0.25">
      <c r="A178" s="16"/>
      <c r="B178" s="17"/>
      <c r="C178" s="17"/>
      <c r="D178" s="21"/>
      <c r="E178" s="18"/>
      <c r="F178" s="20"/>
      <c r="H178" s="19"/>
      <c r="I178" s="9"/>
    </row>
    <row r="179" spans="1:9" s="8" customFormat="1" ht="12" x14ac:dyDescent="0.25">
      <c r="A179" s="16"/>
      <c r="B179" s="17"/>
      <c r="C179" s="17"/>
      <c r="D179" s="21"/>
      <c r="E179" s="18"/>
      <c r="F179" s="20"/>
      <c r="H179" s="19"/>
      <c r="I179" s="9"/>
    </row>
    <row r="180" spans="1:9" s="8" customFormat="1" ht="12" x14ac:dyDescent="0.25">
      <c r="A180" s="16"/>
      <c r="B180" s="17"/>
      <c r="C180" s="17"/>
      <c r="D180" s="21"/>
      <c r="E180" s="18"/>
      <c r="F180" s="20"/>
      <c r="H180" s="19"/>
      <c r="I180" s="9"/>
    </row>
    <row r="181" spans="1:9" s="8" customFormat="1" ht="12" x14ac:dyDescent="0.25">
      <c r="A181" s="16"/>
      <c r="B181" s="17"/>
      <c r="C181" s="17"/>
      <c r="D181" s="21"/>
      <c r="E181" s="18"/>
      <c r="F181" s="20"/>
      <c r="H181" s="19"/>
      <c r="I181" s="9"/>
    </row>
    <row r="182" spans="1:9" s="8" customFormat="1" ht="12" x14ac:dyDescent="0.25">
      <c r="A182" s="16"/>
      <c r="B182" s="17"/>
      <c r="C182" s="17"/>
      <c r="D182" s="21"/>
      <c r="E182" s="18"/>
      <c r="F182" s="20"/>
      <c r="H182" s="19"/>
      <c r="I182" s="9"/>
    </row>
    <row r="183" spans="1:9" s="8" customFormat="1" ht="12" x14ac:dyDescent="0.25">
      <c r="A183" s="16"/>
      <c r="B183" s="17"/>
      <c r="C183" s="17"/>
      <c r="D183" s="21"/>
      <c r="E183" s="18"/>
      <c r="F183" s="20"/>
      <c r="H183" s="19"/>
      <c r="I183" s="9"/>
    </row>
    <row r="184" spans="1:9" s="8" customFormat="1" ht="12" x14ac:dyDescent="0.25">
      <c r="A184" s="16"/>
      <c r="B184" s="17"/>
      <c r="C184" s="17"/>
      <c r="D184" s="21"/>
      <c r="E184" s="18"/>
      <c r="F184" s="20"/>
      <c r="H184" s="19"/>
      <c r="I184" s="9"/>
    </row>
    <row r="185" spans="1:9" s="8" customFormat="1" ht="12" x14ac:dyDescent="0.25">
      <c r="A185" s="16"/>
      <c r="B185" s="17"/>
      <c r="C185" s="17"/>
      <c r="D185" s="21"/>
      <c r="E185" s="18"/>
      <c r="F185" s="20"/>
      <c r="H185" s="19"/>
      <c r="I185" s="9"/>
    </row>
    <row r="186" spans="1:9" s="8" customFormat="1" ht="12" x14ac:dyDescent="0.25">
      <c r="A186" s="16"/>
      <c r="B186" s="17"/>
      <c r="C186" s="17"/>
      <c r="D186" s="21"/>
      <c r="E186" s="18"/>
      <c r="F186" s="20"/>
      <c r="H186" s="19"/>
      <c r="I186" s="9"/>
    </row>
    <row r="187" spans="1:9" s="8" customFormat="1" ht="12" x14ac:dyDescent="0.25">
      <c r="A187" s="16"/>
      <c r="B187" s="17"/>
      <c r="C187" s="17"/>
      <c r="D187" s="21"/>
      <c r="E187" s="18"/>
      <c r="F187" s="20"/>
      <c r="H187" s="19"/>
      <c r="I187" s="9"/>
    </row>
    <row r="188" spans="1:9" s="8" customFormat="1" ht="12" x14ac:dyDescent="0.25">
      <c r="A188" s="16"/>
      <c r="B188" s="17"/>
      <c r="C188" s="17"/>
      <c r="D188" s="21"/>
      <c r="E188" s="18"/>
      <c r="F188" s="20"/>
      <c r="H188" s="19"/>
      <c r="I188" s="9"/>
    </row>
    <row r="189" spans="1:9" s="8" customFormat="1" ht="12" x14ac:dyDescent="0.25">
      <c r="A189" s="16"/>
      <c r="B189" s="17"/>
      <c r="C189" s="17"/>
      <c r="D189" s="21"/>
      <c r="E189" s="18"/>
      <c r="F189" s="20"/>
      <c r="H189" s="19"/>
      <c r="I189" s="9"/>
    </row>
    <row r="190" spans="1:9" s="8" customFormat="1" ht="12" x14ac:dyDescent="0.25">
      <c r="A190" s="16"/>
      <c r="B190" s="17"/>
      <c r="C190" s="17"/>
      <c r="D190" s="21"/>
      <c r="E190" s="18"/>
      <c r="F190" s="20"/>
      <c r="H190" s="19"/>
      <c r="I190" s="9"/>
    </row>
    <row r="191" spans="1:9" s="8" customFormat="1" ht="12" x14ac:dyDescent="0.25">
      <c r="A191" s="16"/>
      <c r="B191" s="17"/>
      <c r="C191" s="17"/>
      <c r="D191" s="21"/>
      <c r="E191" s="18"/>
      <c r="F191" s="20"/>
      <c r="H191" s="19"/>
      <c r="I191" s="9"/>
    </row>
    <row r="192" spans="1:9" s="8" customFormat="1" ht="12" x14ac:dyDescent="0.25">
      <c r="A192" s="16"/>
      <c r="B192" s="17"/>
      <c r="C192" s="17"/>
      <c r="D192" s="21"/>
      <c r="E192" s="18"/>
      <c r="F192" s="20"/>
      <c r="H192" s="19"/>
      <c r="I192" s="9"/>
    </row>
    <row r="193" spans="1:9" s="8" customFormat="1" ht="12" x14ac:dyDescent="0.25">
      <c r="A193" s="16"/>
      <c r="B193" s="17"/>
      <c r="C193" s="17"/>
      <c r="D193" s="21"/>
      <c r="E193" s="18"/>
      <c r="F193" s="20"/>
      <c r="H193" s="19"/>
      <c r="I193" s="9"/>
    </row>
    <row r="194" spans="1:9" s="8" customFormat="1" ht="12" x14ac:dyDescent="0.25">
      <c r="A194" s="16"/>
      <c r="B194" s="17"/>
      <c r="C194" s="17"/>
      <c r="D194" s="21"/>
      <c r="E194" s="18"/>
      <c r="F194" s="20"/>
      <c r="H194" s="19"/>
      <c r="I194" s="9"/>
    </row>
    <row r="195" spans="1:9" s="8" customFormat="1" ht="12" x14ac:dyDescent="0.25">
      <c r="A195" s="16"/>
      <c r="B195" s="17"/>
      <c r="C195" s="17"/>
      <c r="D195" s="21"/>
      <c r="E195" s="18"/>
      <c r="F195" s="20"/>
      <c r="H195" s="19"/>
      <c r="I195" s="9"/>
    </row>
    <row r="196" spans="1:9" s="8" customFormat="1" ht="12" x14ac:dyDescent="0.25">
      <c r="A196" s="16"/>
      <c r="B196" s="17"/>
      <c r="C196" s="17"/>
      <c r="D196" s="21"/>
      <c r="E196" s="18"/>
      <c r="F196" s="20"/>
      <c r="H196" s="19"/>
      <c r="I196" s="9"/>
    </row>
    <row r="197" spans="1:9" s="8" customFormat="1" ht="12" x14ac:dyDescent="0.25">
      <c r="A197" s="16"/>
      <c r="B197" s="17"/>
      <c r="C197" s="17"/>
      <c r="D197" s="21"/>
      <c r="E197" s="18"/>
      <c r="F197" s="20"/>
      <c r="H197" s="19"/>
      <c r="I197" s="9"/>
    </row>
    <row r="198" spans="1:9" s="8" customFormat="1" ht="12" x14ac:dyDescent="0.25">
      <c r="A198" s="16"/>
      <c r="B198" s="17"/>
      <c r="C198" s="17"/>
      <c r="D198" s="21"/>
      <c r="E198" s="18"/>
      <c r="F198" s="20"/>
      <c r="H198" s="19"/>
      <c r="I198" s="9"/>
    </row>
    <row r="199" spans="1:9" s="8" customFormat="1" ht="12" x14ac:dyDescent="0.25">
      <c r="A199" s="16"/>
      <c r="B199" s="17"/>
      <c r="C199" s="17"/>
      <c r="D199" s="21"/>
      <c r="E199" s="18"/>
      <c r="F199" s="20"/>
      <c r="H199" s="19"/>
      <c r="I199" s="9"/>
    </row>
    <row r="200" spans="1:9" s="8" customFormat="1" ht="12" x14ac:dyDescent="0.25">
      <c r="A200" s="16"/>
      <c r="B200" s="17"/>
      <c r="C200" s="17"/>
      <c r="D200" s="21"/>
      <c r="E200" s="18"/>
      <c r="F200" s="20"/>
      <c r="H200" s="19"/>
      <c r="I200" s="9"/>
    </row>
    <row r="201" spans="1:9" s="8" customFormat="1" ht="12" x14ac:dyDescent="0.25">
      <c r="A201" s="16"/>
      <c r="B201" s="17"/>
      <c r="C201" s="17"/>
      <c r="D201" s="21"/>
      <c r="E201" s="18"/>
      <c r="F201" s="20"/>
      <c r="H201" s="19"/>
      <c r="I201" s="9"/>
    </row>
    <row r="202" spans="1:9" s="8" customFormat="1" ht="12" x14ac:dyDescent="0.25">
      <c r="A202" s="16"/>
      <c r="B202" s="17"/>
      <c r="C202" s="17"/>
      <c r="D202" s="21"/>
      <c r="E202" s="18"/>
      <c r="F202" s="20"/>
      <c r="H202" s="19"/>
      <c r="I202" s="9"/>
    </row>
    <row r="203" spans="1:9" s="8" customFormat="1" ht="12" x14ac:dyDescent="0.25">
      <c r="A203" s="16"/>
      <c r="B203" s="17"/>
      <c r="C203" s="17"/>
      <c r="D203" s="21"/>
      <c r="E203" s="18"/>
      <c r="F203" s="20"/>
      <c r="H203" s="19"/>
      <c r="I203" s="9"/>
    </row>
    <row r="204" spans="1:9" s="8" customFormat="1" ht="12" x14ac:dyDescent="0.25">
      <c r="A204" s="16"/>
      <c r="B204" s="17"/>
      <c r="C204" s="17"/>
      <c r="D204" s="21"/>
      <c r="E204" s="18"/>
      <c r="F204" s="20"/>
      <c r="H204" s="19"/>
      <c r="I204" s="9"/>
    </row>
    <row r="205" spans="1:9" s="8" customFormat="1" ht="12" x14ac:dyDescent="0.25">
      <c r="A205" s="16"/>
      <c r="B205" s="17"/>
      <c r="C205" s="17"/>
      <c r="D205" s="21"/>
      <c r="E205" s="18"/>
      <c r="F205" s="20"/>
      <c r="H205" s="19"/>
      <c r="I205" s="9"/>
    </row>
    <row r="206" spans="1:9" s="8" customFormat="1" ht="12" x14ac:dyDescent="0.25">
      <c r="A206" s="16"/>
      <c r="B206" s="17"/>
      <c r="C206" s="17"/>
      <c r="D206" s="21"/>
      <c r="E206" s="18"/>
      <c r="F206" s="20"/>
      <c r="H206" s="19"/>
      <c r="I206" s="9"/>
    </row>
    <row r="207" spans="1:9" s="8" customFormat="1" ht="12" x14ac:dyDescent="0.25">
      <c r="A207" s="16"/>
      <c r="B207" s="17"/>
      <c r="C207" s="17"/>
      <c r="D207" s="21"/>
      <c r="E207" s="18"/>
      <c r="F207" s="20"/>
      <c r="H207" s="19"/>
      <c r="I207" s="9"/>
    </row>
    <row r="208" spans="1:9" s="8" customFormat="1" ht="12" x14ac:dyDescent="0.25">
      <c r="A208" s="16"/>
      <c r="B208" s="17"/>
      <c r="C208" s="17"/>
      <c r="D208" s="21"/>
      <c r="E208" s="18"/>
      <c r="F208" s="20"/>
      <c r="H208" s="19"/>
      <c r="I208" s="9"/>
    </row>
    <row r="209" spans="1:9" s="8" customFormat="1" ht="12" x14ac:dyDescent="0.25">
      <c r="A209" s="16"/>
      <c r="B209" s="17"/>
      <c r="C209" s="17"/>
      <c r="D209" s="21"/>
      <c r="E209" s="18"/>
      <c r="F209" s="20"/>
      <c r="H209" s="19"/>
      <c r="I209" s="9"/>
    </row>
    <row r="210" spans="1:9" s="8" customFormat="1" ht="12" x14ac:dyDescent="0.25">
      <c r="A210" s="16"/>
      <c r="B210" s="17"/>
      <c r="C210" s="17"/>
      <c r="D210" s="21"/>
      <c r="E210" s="18"/>
      <c r="F210" s="20"/>
      <c r="H210" s="19"/>
      <c r="I210" s="9"/>
    </row>
    <row r="211" spans="1:9" s="8" customFormat="1" ht="12" x14ac:dyDescent="0.25">
      <c r="A211" s="16"/>
      <c r="B211" s="17"/>
      <c r="C211" s="17"/>
      <c r="D211" s="21"/>
      <c r="E211" s="18"/>
      <c r="F211" s="20"/>
      <c r="H211" s="19"/>
      <c r="I211" s="9"/>
    </row>
    <row r="212" spans="1:9" s="8" customFormat="1" ht="12" x14ac:dyDescent="0.25">
      <c r="A212" s="16"/>
      <c r="B212" s="17"/>
      <c r="C212" s="17"/>
      <c r="D212" s="21"/>
      <c r="E212" s="18"/>
      <c r="F212" s="20"/>
      <c r="H212" s="19"/>
      <c r="I212" s="9"/>
    </row>
    <row r="213" spans="1:9" s="8" customFormat="1" ht="12" x14ac:dyDescent="0.25">
      <c r="A213" s="16"/>
      <c r="B213" s="17"/>
      <c r="C213" s="17"/>
      <c r="D213" s="21"/>
      <c r="E213" s="18"/>
      <c r="F213" s="20"/>
      <c r="H213" s="19"/>
      <c r="I213" s="9"/>
    </row>
    <row r="214" spans="1:9" s="8" customFormat="1" ht="12" x14ac:dyDescent="0.25">
      <c r="A214" s="16"/>
      <c r="B214" s="17"/>
      <c r="C214" s="17"/>
      <c r="D214" s="21"/>
      <c r="E214" s="18"/>
      <c r="F214" s="20"/>
      <c r="H214" s="19"/>
      <c r="I214" s="9"/>
    </row>
    <row r="215" spans="1:9" s="8" customFormat="1" ht="12" x14ac:dyDescent="0.25">
      <c r="A215" s="16"/>
      <c r="B215" s="17"/>
      <c r="C215" s="17"/>
      <c r="D215" s="21"/>
      <c r="E215" s="18"/>
      <c r="F215" s="20"/>
      <c r="H215" s="19"/>
      <c r="I215" s="9"/>
    </row>
    <row r="216" spans="1:9" s="8" customFormat="1" ht="12" x14ac:dyDescent="0.25">
      <c r="A216" s="16"/>
      <c r="B216" s="17"/>
      <c r="C216" s="17"/>
      <c r="D216" s="21"/>
      <c r="E216" s="18"/>
      <c r="F216" s="20"/>
      <c r="H216" s="19"/>
      <c r="I216" s="9"/>
    </row>
    <row r="217" spans="1:9" s="8" customFormat="1" ht="12" x14ac:dyDescent="0.25">
      <c r="A217" s="16"/>
      <c r="B217" s="17"/>
      <c r="C217" s="17"/>
      <c r="D217" s="21"/>
      <c r="E217" s="18"/>
      <c r="F217" s="20"/>
      <c r="H217" s="19"/>
      <c r="I217" s="9"/>
    </row>
    <row r="218" spans="1:9" s="8" customFormat="1" ht="12" x14ac:dyDescent="0.25">
      <c r="A218" s="16"/>
      <c r="B218" s="17"/>
      <c r="C218" s="17"/>
      <c r="D218" s="21"/>
      <c r="E218" s="18"/>
      <c r="F218" s="20"/>
      <c r="H218" s="19"/>
      <c r="I218" s="9"/>
    </row>
    <row r="219" spans="1:9" s="8" customFormat="1" ht="12" x14ac:dyDescent="0.25">
      <c r="A219" s="16"/>
      <c r="B219" s="17"/>
      <c r="C219" s="17"/>
      <c r="D219" s="21"/>
      <c r="E219" s="18"/>
      <c r="F219" s="20"/>
      <c r="H219" s="19"/>
      <c r="I219" s="9"/>
    </row>
    <row r="220" spans="1:9" s="8" customFormat="1" ht="12" x14ac:dyDescent="0.25">
      <c r="A220" s="16"/>
      <c r="B220" s="17"/>
      <c r="C220" s="17"/>
      <c r="D220" s="21"/>
      <c r="E220" s="18"/>
      <c r="F220" s="20"/>
      <c r="H220" s="19"/>
      <c r="I220" s="9"/>
    </row>
    <row r="221" spans="1:9" s="8" customFormat="1" ht="12" x14ac:dyDescent="0.25">
      <c r="A221" s="16"/>
      <c r="B221" s="17"/>
      <c r="C221" s="17"/>
      <c r="D221" s="21"/>
      <c r="E221" s="18"/>
      <c r="F221" s="20"/>
      <c r="H221" s="19"/>
      <c r="I221" s="9"/>
    </row>
    <row r="222" spans="1:9" s="8" customFormat="1" ht="12" x14ac:dyDescent="0.25">
      <c r="A222" s="16"/>
      <c r="B222" s="17"/>
      <c r="C222" s="17"/>
      <c r="D222" s="21"/>
      <c r="E222" s="18"/>
      <c r="F222" s="20"/>
      <c r="H222" s="19"/>
      <c r="I222" s="9"/>
    </row>
    <row r="223" spans="1:9" s="8" customFormat="1" ht="12" x14ac:dyDescent="0.25">
      <c r="A223" s="16"/>
      <c r="B223" s="17"/>
      <c r="C223" s="17"/>
      <c r="D223" s="21"/>
      <c r="E223" s="18"/>
      <c r="F223" s="20"/>
      <c r="H223" s="19"/>
      <c r="I223" s="9"/>
    </row>
    <row r="224" spans="1:9" s="8" customFormat="1" ht="12" x14ac:dyDescent="0.25">
      <c r="A224" s="16"/>
      <c r="B224" s="17"/>
      <c r="C224" s="17"/>
      <c r="D224" s="21"/>
      <c r="E224" s="18"/>
      <c r="F224" s="20"/>
      <c r="H224" s="19"/>
      <c r="I224" s="9"/>
    </row>
    <row r="225" spans="1:9" s="8" customFormat="1" ht="12" x14ac:dyDescent="0.25">
      <c r="A225" s="16"/>
      <c r="B225" s="17"/>
      <c r="C225" s="17"/>
      <c r="D225" s="21"/>
      <c r="E225" s="18"/>
      <c r="F225" s="20"/>
      <c r="H225" s="19"/>
      <c r="I225" s="9"/>
    </row>
    <row r="226" spans="1:9" s="8" customFormat="1" ht="12" x14ac:dyDescent="0.25">
      <c r="A226" s="16"/>
      <c r="B226" s="17"/>
      <c r="C226" s="17"/>
      <c r="D226" s="21"/>
      <c r="E226" s="18"/>
      <c r="F226" s="20"/>
      <c r="H226" s="19"/>
      <c r="I226" s="9"/>
    </row>
    <row r="227" spans="1:9" s="8" customFormat="1" ht="12" x14ac:dyDescent="0.25">
      <c r="A227" s="16"/>
      <c r="B227" s="17"/>
      <c r="C227" s="17"/>
      <c r="D227" s="21"/>
      <c r="E227" s="18"/>
      <c r="F227" s="20"/>
      <c r="H227" s="19"/>
      <c r="I227" s="9"/>
    </row>
    <row r="228" spans="1:9" s="8" customFormat="1" ht="12" x14ac:dyDescent="0.25">
      <c r="A228" s="16"/>
      <c r="B228" s="17"/>
      <c r="C228" s="17"/>
      <c r="D228" s="21"/>
      <c r="E228" s="18"/>
      <c r="F228" s="20"/>
      <c r="H228" s="19"/>
      <c r="I228" s="9"/>
    </row>
    <row r="229" spans="1:9" s="8" customFormat="1" ht="12" x14ac:dyDescent="0.25">
      <c r="A229" s="16"/>
      <c r="B229" s="17"/>
      <c r="C229" s="17"/>
      <c r="D229" s="21"/>
      <c r="E229" s="18"/>
      <c r="F229" s="20"/>
      <c r="H229" s="19"/>
      <c r="I229" s="9"/>
    </row>
    <row r="230" spans="1:9" s="8" customFormat="1" ht="12" x14ac:dyDescent="0.25">
      <c r="A230" s="16"/>
      <c r="B230" s="17"/>
      <c r="C230" s="17"/>
      <c r="D230" s="21"/>
      <c r="E230" s="18"/>
      <c r="F230" s="20"/>
      <c r="H230" s="19"/>
      <c r="I230" s="9"/>
    </row>
    <row r="231" spans="1:9" s="8" customFormat="1" ht="12" x14ac:dyDescent="0.25">
      <c r="A231" s="16"/>
      <c r="B231" s="17"/>
      <c r="C231" s="17"/>
      <c r="D231" s="21"/>
      <c r="E231" s="18"/>
      <c r="F231" s="20"/>
      <c r="H231" s="19"/>
      <c r="I231" s="9"/>
    </row>
    <row r="232" spans="1:9" s="8" customFormat="1" ht="12" x14ac:dyDescent="0.25">
      <c r="A232" s="16"/>
      <c r="B232" s="17"/>
      <c r="C232" s="17"/>
      <c r="D232" s="21"/>
      <c r="E232" s="18"/>
      <c r="F232" s="20"/>
      <c r="H232" s="19"/>
      <c r="I232" s="9"/>
    </row>
    <row r="233" spans="1:9" s="8" customFormat="1" ht="12" x14ac:dyDescent="0.25">
      <c r="A233" s="16"/>
      <c r="B233" s="17"/>
      <c r="C233" s="17"/>
      <c r="D233" s="21"/>
      <c r="E233" s="18"/>
      <c r="F233" s="20"/>
      <c r="H233" s="19"/>
      <c r="I233" s="9"/>
    </row>
    <row r="234" spans="1:9" s="8" customFormat="1" ht="12" x14ac:dyDescent="0.25">
      <c r="A234" s="16"/>
      <c r="B234" s="17"/>
      <c r="C234" s="17"/>
      <c r="D234" s="21"/>
      <c r="E234" s="18"/>
      <c r="F234" s="20"/>
      <c r="H234" s="19"/>
      <c r="I234" s="9"/>
    </row>
    <row r="235" spans="1:9" s="8" customFormat="1" ht="12" x14ac:dyDescent="0.25">
      <c r="A235" s="16"/>
      <c r="B235" s="17"/>
      <c r="C235" s="17"/>
      <c r="D235" s="21"/>
      <c r="E235" s="18"/>
      <c r="F235" s="20"/>
      <c r="H235" s="19"/>
      <c r="I235" s="9"/>
    </row>
    <row r="236" spans="1:9" s="8" customFormat="1" ht="12" x14ac:dyDescent="0.25">
      <c r="A236" s="16"/>
      <c r="B236" s="17"/>
      <c r="C236" s="17"/>
      <c r="D236" s="21"/>
      <c r="E236" s="18"/>
      <c r="F236" s="20"/>
      <c r="H236" s="19"/>
      <c r="I236" s="9"/>
    </row>
    <row r="237" spans="1:9" s="8" customFormat="1" ht="12" x14ac:dyDescent="0.25">
      <c r="A237" s="16"/>
      <c r="B237" s="17"/>
      <c r="C237" s="17"/>
      <c r="D237" s="21"/>
      <c r="E237" s="18"/>
      <c r="F237" s="20"/>
      <c r="H237" s="19"/>
      <c r="I237" s="9"/>
    </row>
    <row r="238" spans="1:9" s="8" customFormat="1" ht="12" x14ac:dyDescent="0.25">
      <c r="A238" s="16"/>
      <c r="B238" s="17"/>
      <c r="C238" s="17"/>
      <c r="D238" s="21"/>
      <c r="E238" s="18"/>
      <c r="F238" s="20"/>
      <c r="H238" s="19"/>
      <c r="I238" s="9"/>
    </row>
    <row r="239" spans="1:9" s="8" customFormat="1" ht="12" x14ac:dyDescent="0.25">
      <c r="A239" s="16"/>
      <c r="B239" s="17"/>
      <c r="C239" s="17"/>
      <c r="D239" s="21"/>
      <c r="E239" s="18"/>
      <c r="F239" s="20"/>
      <c r="H239" s="19"/>
      <c r="I239" s="9"/>
    </row>
    <row r="240" spans="1:9" s="8" customFormat="1" ht="12" x14ac:dyDescent="0.25">
      <c r="A240" s="16"/>
      <c r="B240" s="17"/>
      <c r="C240" s="17"/>
      <c r="D240" s="21"/>
      <c r="E240" s="18"/>
      <c r="F240" s="20"/>
      <c r="H240" s="19"/>
      <c r="I240" s="9"/>
    </row>
    <row r="241" spans="1:9" s="8" customFormat="1" ht="12" x14ac:dyDescent="0.25">
      <c r="A241" s="16"/>
      <c r="B241" s="17"/>
      <c r="C241" s="17"/>
      <c r="D241" s="21"/>
      <c r="E241" s="18"/>
      <c r="F241" s="20"/>
      <c r="H241" s="19"/>
      <c r="I241" s="9"/>
    </row>
    <row r="242" spans="1:9" s="8" customFormat="1" ht="12" x14ac:dyDescent="0.25">
      <c r="A242" s="16"/>
      <c r="B242" s="17"/>
      <c r="C242" s="17"/>
      <c r="D242" s="21"/>
      <c r="E242" s="18"/>
      <c r="F242" s="20"/>
      <c r="H242" s="19"/>
      <c r="I242" s="9"/>
    </row>
    <row r="243" spans="1:9" s="8" customFormat="1" ht="12" x14ac:dyDescent="0.25">
      <c r="A243" s="16"/>
      <c r="B243" s="17"/>
      <c r="C243" s="17"/>
      <c r="D243" s="21"/>
      <c r="E243" s="18"/>
      <c r="F243" s="20"/>
      <c r="H243" s="19"/>
      <c r="I243" s="9"/>
    </row>
    <row r="244" spans="1:9" s="8" customFormat="1" ht="12" x14ac:dyDescent="0.25">
      <c r="A244" s="16"/>
      <c r="B244" s="17"/>
      <c r="C244" s="17"/>
      <c r="D244" s="21"/>
      <c r="E244" s="18"/>
      <c r="F244" s="20"/>
      <c r="H244" s="19"/>
      <c r="I244" s="9"/>
    </row>
    <row r="245" spans="1:9" s="8" customFormat="1" ht="12" x14ac:dyDescent="0.25">
      <c r="A245" s="16"/>
      <c r="B245" s="17"/>
      <c r="C245" s="17"/>
      <c r="D245" s="21"/>
      <c r="E245" s="18"/>
      <c r="F245" s="20"/>
      <c r="H245" s="19"/>
      <c r="I245" s="9"/>
    </row>
    <row r="246" spans="1:9" s="8" customFormat="1" ht="12" x14ac:dyDescent="0.25">
      <c r="A246" s="16"/>
      <c r="B246" s="17"/>
      <c r="C246" s="17"/>
      <c r="D246" s="21"/>
      <c r="E246" s="18"/>
      <c r="F246" s="20"/>
      <c r="H246" s="19"/>
      <c r="I246" s="9"/>
    </row>
  </sheetData>
  <autoFilter ref="A1:K10" xr:uid="{00000000-0009-0000-0000-000001000000}">
    <sortState xmlns:xlrd2="http://schemas.microsoft.com/office/spreadsheetml/2017/richdata2" ref="A2:L80">
      <sortCondition ref="E1:E10"/>
    </sortState>
  </autoFilter>
  <phoneticPr fontId="12" type="noConversion"/>
  <conditionalFormatting sqref="A1:XFD1">
    <cfRule type="beginsWith" dxfId="58" priority="48" operator="beginsWith" text="[K_">
      <formula>LEFT(A1,LEN("[K_"))="[K_"</formula>
    </cfRule>
  </conditionalFormatting>
  <conditionalFormatting sqref="E103:E169 E1:E3 E36:E72 E247:E1048576">
    <cfRule type="duplicateValues" dxfId="57" priority="32"/>
  </conditionalFormatting>
  <conditionalFormatting sqref="E83:E102">
    <cfRule type="duplicateValues" dxfId="56" priority="28"/>
  </conditionalFormatting>
  <conditionalFormatting sqref="E73:E75 E77:E82">
    <cfRule type="duplicateValues" dxfId="55" priority="77"/>
  </conditionalFormatting>
  <conditionalFormatting sqref="D247:D1048576 D1:D3 D27 D31 D35 D39 D43 D47 D51 D55 D59 D63 D67 D71 D75 D79 D83 D87 D91 D95 D99 D103 D107 D111 D115 D119 D123 D127 D131 D135 D139 D143 D147 D151 D155 D159 D163 D167 D6 D9 D12 D15 D18 D21 D24">
    <cfRule type="duplicateValues" dxfId="54" priority="22"/>
  </conditionalFormatting>
  <conditionalFormatting sqref="E76">
    <cfRule type="duplicateValues" dxfId="53" priority="19"/>
  </conditionalFormatting>
  <conditionalFormatting sqref="D28 D32 D36 D40 D44 D48 D52 D56 D60 D64 D68 D72 D76 D80 D84 D88 D92 D96 D100 D104 D108 D112 D116 D120 D124 D128 D132 D136 D140 D144 D148 D152 D156 D160 D164 D168">
    <cfRule type="duplicateValues" dxfId="52" priority="15"/>
  </conditionalFormatting>
  <conditionalFormatting sqref="D29:D30 D33:D34 D37:D38 D41:D42 D45:D46 D49:D50 D53:D54 D57:D58 D61:D62 D65:D66 D69:D70 D73:D74 D77:D78 D81:D82 D85:D86 D89:D90 D93:D94 D97:D98 D101:D102 D105:D106 D109:D110 D113:D114 D117:D118 D121:D122 D125:D126 D129:D130 D133:D134 D137:D138 D141:D142 D145:D146 D149:D150 D153:D154 D157:D158 D161:D162 D165:D166 D169">
    <cfRule type="duplicateValues" dxfId="51" priority="11"/>
  </conditionalFormatting>
  <conditionalFormatting sqref="F3:F26 B3:C26">
    <cfRule type="beginsWith" dxfId="50" priority="39" operator="beginsWith" text="[K_">
      <formula>LEFT(#REF!,LEN("[K_"))="[K_"</formula>
    </cfRule>
  </conditionalFormatting>
  <conditionalFormatting sqref="F27:F169 B27:C169">
    <cfRule type="beginsWith" dxfId="49" priority="13" operator="beginsWith" text="[K_">
      <formula>LEFT(#REF!,LEN("[K_"))="[K_"</formula>
    </cfRule>
  </conditionalFormatting>
  <conditionalFormatting sqref="E170:E246">
    <cfRule type="duplicateValues" dxfId="48" priority="9"/>
  </conditionalFormatting>
  <conditionalFormatting sqref="D170:D246">
    <cfRule type="duplicateValues" dxfId="47" priority="7"/>
  </conditionalFormatting>
  <conditionalFormatting sqref="F170:F246 B170:C246">
    <cfRule type="beginsWith" dxfId="46" priority="8" operator="beginsWith" text="[K_">
      <formula>LEFT(#REF!,LEN("[K_"))="[K_"</formula>
    </cfRule>
  </conditionalFormatting>
  <conditionalFormatting sqref="E12:E22">
    <cfRule type="duplicateValues" dxfId="45" priority="1"/>
  </conditionalFormatting>
  <conditionalFormatting sqref="E4:E11 E23:E26">
    <cfRule type="duplicateValues" dxfId="44" priority="309"/>
  </conditionalFormatting>
  <conditionalFormatting sqref="D4:D5 D7:D8 D10:D11 D13:D14 D16:D17 D19:D20 D22:D23 D25:D26">
    <cfRule type="duplicateValues" dxfId="43" priority="311"/>
  </conditionalFormatting>
  <conditionalFormatting sqref="E27:E35">
    <cfRule type="duplicateValues" dxfId="42" priority="319"/>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7B76-6BFC-4CE0-9D2A-5FAA0ECB3A68}">
  <dimension ref="A1:L249"/>
  <sheetViews>
    <sheetView zoomScale="130" zoomScaleNormal="130" workbookViewId="0">
      <selection activeCell="F17" sqref="F17"/>
    </sheetView>
  </sheetViews>
  <sheetFormatPr baseColWidth="10" defaultColWidth="11.42578125" defaultRowHeight="15" x14ac:dyDescent="0.25"/>
  <cols>
    <col min="1" max="1" width="3.28515625" style="11" customWidth="1"/>
    <col min="2" max="3" width="4.140625" customWidth="1"/>
    <col min="4" max="5" width="17.5703125" style="13" bestFit="1" customWidth="1"/>
    <col min="6" max="6" width="36.140625" style="7" bestFit="1" customWidth="1"/>
    <col min="7" max="7" width="10.140625" style="13" customWidth="1"/>
    <col min="8" max="8" width="9.7109375" customWidth="1"/>
    <col min="9" max="9" width="25.28515625" customWidth="1"/>
    <col min="10" max="10" width="17.42578125" style="10" customWidth="1"/>
  </cols>
  <sheetData>
    <row r="1" spans="1:12" s="15" customFormat="1" x14ac:dyDescent="0.25">
      <c r="A1" s="14" t="s">
        <v>4</v>
      </c>
      <c r="B1" s="15" t="s">
        <v>0</v>
      </c>
      <c r="C1" s="15" t="s">
        <v>1</v>
      </c>
      <c r="D1" t="s">
        <v>24</v>
      </c>
      <c r="E1" t="s">
        <v>119</v>
      </c>
      <c r="F1" t="s">
        <v>25</v>
      </c>
      <c r="G1" t="s">
        <v>26</v>
      </c>
      <c r="I1" s="15" t="s">
        <v>5</v>
      </c>
      <c r="J1" s="15" t="s">
        <v>299</v>
      </c>
      <c r="K1" s="15" t="s">
        <v>2</v>
      </c>
      <c r="L1" s="15" t="str">
        <f>CONCATENATE($I$1,$J$1,$K$1,B3, ", ", C3, ", ", )</f>
        <v xml:space="preserve">EXECUTE [dbo].[PG_CI_MOTIVO_ORDEN_TRABAJO] 0, 0, </v>
      </c>
    </row>
    <row r="2" spans="1:12" s="8" customFormat="1" x14ac:dyDescent="0.25">
      <c r="A2" s="3"/>
      <c r="B2" s="5" t="s">
        <v>3</v>
      </c>
      <c r="C2" s="5" t="s">
        <v>3</v>
      </c>
      <c r="D2" s="12" t="s">
        <v>3</v>
      </c>
      <c r="E2" s="12" t="s">
        <v>3</v>
      </c>
      <c r="F2" s="6" t="s">
        <v>3</v>
      </c>
      <c r="G2" s="12" t="s">
        <v>3</v>
      </c>
      <c r="H2" s="1"/>
      <c r="I2" s="2" t="str">
        <f>"-- =========================================================="</f>
        <v>-- ==========================================================</v>
      </c>
      <c r="K2" s="4"/>
      <c r="L2" s="1"/>
    </row>
    <row r="3" spans="1:12" s="8" customFormat="1" ht="12" x14ac:dyDescent="0.25">
      <c r="A3" s="16"/>
      <c r="B3" s="17">
        <v>0</v>
      </c>
      <c r="C3" s="17">
        <v>0</v>
      </c>
      <c r="D3" s="21">
        <v>1</v>
      </c>
      <c r="E3" s="21">
        <v>1</v>
      </c>
      <c r="F3" s="18" t="s">
        <v>120</v>
      </c>
      <c r="G3" s="20">
        <v>1</v>
      </c>
      <c r="I3" s="19" t="str">
        <f>CONCATENATE(CI_SUB_ESTACION!$L$1,D3,",",E3,",'",F3,"', ",G3,"")</f>
        <v>EXECUTE [dbo].[PG_CI_MOTIVO_ORDEN_TRABAJO] 0, 0, 1,1,'MESA 01', 1</v>
      </c>
      <c r="J3" s="9"/>
    </row>
    <row r="4" spans="1:12" s="8" customFormat="1" ht="12" x14ac:dyDescent="0.25">
      <c r="A4" s="16"/>
      <c r="B4" s="17">
        <v>0</v>
      </c>
      <c r="C4" s="17">
        <v>0</v>
      </c>
      <c r="D4" s="21">
        <v>2</v>
      </c>
      <c r="E4" s="21">
        <v>1</v>
      </c>
      <c r="F4" s="18" t="s">
        <v>121</v>
      </c>
      <c r="G4" s="20">
        <v>1</v>
      </c>
      <c r="I4" s="19" t="str">
        <f>CONCATENATE(CI_SUB_ESTACION!$L$1,D4,",",E4,",'",F4,"', ",G4,"")</f>
        <v>EXECUTE [dbo].[PG_CI_MOTIVO_ORDEN_TRABAJO] 0, 0, 2,1,'MESA 02', 1</v>
      </c>
      <c r="J4" s="9"/>
    </row>
    <row r="5" spans="1:12" s="8" customFormat="1" ht="12" x14ac:dyDescent="0.25">
      <c r="A5" s="16"/>
      <c r="B5" s="17">
        <v>0</v>
      </c>
      <c r="C5" s="17">
        <v>0</v>
      </c>
      <c r="D5" s="21">
        <v>3</v>
      </c>
      <c r="E5" s="21">
        <v>1</v>
      </c>
      <c r="F5" s="18" t="s">
        <v>122</v>
      </c>
      <c r="G5" s="20">
        <v>1</v>
      </c>
      <c r="I5" s="19" t="str">
        <f>CONCATENATE(CI_SUB_ESTACION!$L$1,D5,",",E5,",'",F5,"', ",G5,"")</f>
        <v>EXECUTE [dbo].[PG_CI_MOTIVO_ORDEN_TRABAJO] 0, 0, 3,1,'MESA 03', 1</v>
      </c>
      <c r="J5" s="9"/>
    </row>
    <row r="6" spans="1:12" x14ac:dyDescent="0.25">
      <c r="A6" s="16"/>
      <c r="B6" s="17">
        <v>0</v>
      </c>
      <c r="C6" s="17">
        <v>0</v>
      </c>
      <c r="D6" s="21">
        <v>4</v>
      </c>
      <c r="E6" s="21">
        <v>1</v>
      </c>
      <c r="F6" s="18" t="s">
        <v>123</v>
      </c>
      <c r="G6" s="20">
        <v>1</v>
      </c>
      <c r="H6" s="8"/>
      <c r="I6" s="19" t="str">
        <f>CONCATENATE(CI_SUB_ESTACION!$L$1,D6,",",E6,",'",F6,"', ",G6,"")</f>
        <v>EXECUTE [dbo].[PG_CI_MOTIVO_ORDEN_TRABAJO] 0, 0, 4,1,'MESA 04', 1</v>
      </c>
      <c r="J6" s="9"/>
      <c r="K6" s="8"/>
      <c r="L6" s="8"/>
    </row>
    <row r="7" spans="1:12" s="8" customFormat="1" ht="12" x14ac:dyDescent="0.25">
      <c r="A7" s="16"/>
      <c r="B7" s="17">
        <v>0</v>
      </c>
      <c r="C7" s="17">
        <v>0</v>
      </c>
      <c r="D7" s="21">
        <v>5</v>
      </c>
      <c r="E7" s="21">
        <v>1</v>
      </c>
      <c r="F7" s="18" t="s">
        <v>124</v>
      </c>
      <c r="G7" s="20">
        <v>1</v>
      </c>
      <c r="I7" s="19" t="str">
        <f>CONCATENATE(CI_SUB_ESTACION!$L$1,D7,",",E7,",'",F7,"', ",G7,"")</f>
        <v>EXECUTE [dbo].[PG_CI_MOTIVO_ORDEN_TRABAJO] 0, 0, 5,1,'MESA 05', 1</v>
      </c>
      <c r="J7" s="9"/>
    </row>
    <row r="8" spans="1:12" s="8" customFormat="1" ht="12" x14ac:dyDescent="0.25">
      <c r="A8" s="16"/>
      <c r="B8" s="17">
        <v>0</v>
      </c>
      <c r="C8" s="17">
        <v>0</v>
      </c>
      <c r="D8" s="21">
        <v>6</v>
      </c>
      <c r="E8" s="21">
        <v>1</v>
      </c>
      <c r="F8" s="18" t="s">
        <v>125</v>
      </c>
      <c r="G8" s="20">
        <v>1</v>
      </c>
      <c r="I8" s="19" t="str">
        <f>CONCATENATE(CI_SUB_ESTACION!$L$1,D8,",",E8,",'",F8,"', ",G8,"")</f>
        <v>EXECUTE [dbo].[PG_CI_MOTIVO_ORDEN_TRABAJO] 0, 0, 6,1,'MESA 06', 1</v>
      </c>
      <c r="J8" s="9"/>
    </row>
    <row r="9" spans="1:12" s="8" customFormat="1" ht="12" x14ac:dyDescent="0.25">
      <c r="A9" s="16"/>
      <c r="B9" s="17">
        <v>0</v>
      </c>
      <c r="C9" s="17">
        <v>0</v>
      </c>
      <c r="D9" s="21">
        <v>7</v>
      </c>
      <c r="E9" s="21">
        <v>1</v>
      </c>
      <c r="F9" s="18" t="s">
        <v>126</v>
      </c>
      <c r="G9" s="20">
        <v>1</v>
      </c>
      <c r="I9" s="19" t="str">
        <f>CONCATENATE(CI_SUB_ESTACION!$L$1,D9,",",E9,",'",F9,"', ",G9,"")</f>
        <v>EXECUTE [dbo].[PG_CI_MOTIVO_ORDEN_TRABAJO] 0, 0, 7,1,'MESA 07', 1</v>
      </c>
      <c r="J9" s="9"/>
    </row>
    <row r="10" spans="1:12" s="8" customFormat="1" ht="12" x14ac:dyDescent="0.25">
      <c r="A10" s="16"/>
      <c r="B10" s="17">
        <v>0</v>
      </c>
      <c r="C10" s="17">
        <v>0</v>
      </c>
      <c r="D10" s="21">
        <v>8</v>
      </c>
      <c r="E10" s="21">
        <v>1</v>
      </c>
      <c r="F10" s="18" t="s">
        <v>127</v>
      </c>
      <c r="G10" s="20">
        <v>1</v>
      </c>
      <c r="I10" s="19" t="str">
        <f>CONCATENATE(CI_SUB_ESTACION!$L$1,D10,",",E10,",'",F10,"', ",G10,"")</f>
        <v>EXECUTE [dbo].[PG_CI_MOTIVO_ORDEN_TRABAJO] 0, 0, 8,1,'MESA 08', 1</v>
      </c>
      <c r="J10" s="9"/>
    </row>
    <row r="11" spans="1:12" s="8" customFormat="1" ht="12" x14ac:dyDescent="0.25">
      <c r="A11" s="16"/>
      <c r="B11" s="17">
        <v>0</v>
      </c>
      <c r="C11" s="17">
        <v>0</v>
      </c>
      <c r="D11" s="21">
        <v>9</v>
      </c>
      <c r="E11" s="21">
        <v>1</v>
      </c>
      <c r="F11" s="18" t="s">
        <v>128</v>
      </c>
      <c r="G11" s="20">
        <v>1</v>
      </c>
      <c r="I11" s="19" t="str">
        <f>CONCATENATE(CI_SUB_ESTACION!$L$1,D11,",",E11,",'",F11,"', ",G11,"")</f>
        <v>EXECUTE [dbo].[PG_CI_MOTIVO_ORDEN_TRABAJO] 0, 0, 9,1,'MESA 09', 1</v>
      </c>
      <c r="J11" s="9"/>
    </row>
    <row r="12" spans="1:12" s="8" customFormat="1" ht="12" x14ac:dyDescent="0.25">
      <c r="A12" s="16"/>
      <c r="B12" s="17">
        <v>0</v>
      </c>
      <c r="C12" s="17">
        <v>0</v>
      </c>
      <c r="D12" s="21">
        <v>10</v>
      </c>
      <c r="E12" s="21">
        <v>1</v>
      </c>
      <c r="F12" s="18" t="s">
        <v>129</v>
      </c>
      <c r="G12" s="20">
        <v>1</v>
      </c>
      <c r="I12" s="19" t="str">
        <f>CONCATENATE(CI_SUB_ESTACION!$L$1,D12,",",E12,",'",F12,"', ",G12,"")</f>
        <v>EXECUTE [dbo].[PG_CI_MOTIVO_ORDEN_TRABAJO] 0, 0, 10,1,'MESA 10', 1</v>
      </c>
      <c r="J12" s="9"/>
    </row>
    <row r="13" spans="1:12" s="8" customFormat="1" ht="12" x14ac:dyDescent="0.25">
      <c r="A13" s="16"/>
      <c r="B13" s="17">
        <v>0</v>
      </c>
      <c r="C13" s="17">
        <v>0</v>
      </c>
      <c r="D13" s="21">
        <v>11</v>
      </c>
      <c r="E13" s="21">
        <v>1</v>
      </c>
      <c r="F13" s="18" t="s">
        <v>130</v>
      </c>
      <c r="G13" s="20">
        <v>1</v>
      </c>
      <c r="I13" s="19" t="str">
        <f>CONCATENATE(CI_SUB_ESTACION!$L$1,D13,",",E13,",'",F13,"', ",G13,"")</f>
        <v>EXECUTE [dbo].[PG_CI_MOTIVO_ORDEN_TRABAJO] 0, 0, 11,1,'MESA 11', 1</v>
      </c>
      <c r="J13" s="9"/>
    </row>
    <row r="14" spans="1:12" s="8" customFormat="1" ht="12" x14ac:dyDescent="0.25">
      <c r="A14" s="16"/>
      <c r="B14" s="17">
        <v>0</v>
      </c>
      <c r="C14" s="17">
        <v>0</v>
      </c>
      <c r="D14" s="21">
        <v>12</v>
      </c>
      <c r="E14" s="21">
        <v>1</v>
      </c>
      <c r="F14" s="18" t="s">
        <v>131</v>
      </c>
      <c r="G14" s="20">
        <v>1</v>
      </c>
      <c r="I14" s="19" t="str">
        <f>CONCATENATE(CI_SUB_ESTACION!$L$1,D14,",",E14,",'",F14,"', ",G14,"")</f>
        <v>EXECUTE [dbo].[PG_CI_MOTIVO_ORDEN_TRABAJO] 0, 0, 12,1,'MESA 12', 1</v>
      </c>
      <c r="J14" s="9"/>
    </row>
    <row r="15" spans="1:12" s="8" customFormat="1" ht="12" x14ac:dyDescent="0.25">
      <c r="A15" s="16"/>
      <c r="B15" s="17">
        <v>0</v>
      </c>
      <c r="C15" s="17">
        <v>0</v>
      </c>
      <c r="D15" s="21">
        <v>13</v>
      </c>
      <c r="E15" s="21">
        <v>2</v>
      </c>
      <c r="F15" s="18" t="s">
        <v>132</v>
      </c>
      <c r="G15" s="20">
        <v>1</v>
      </c>
      <c r="I15" s="19" t="str">
        <f>CONCATENATE(CI_SUB_ESTACION!$L$1,D15,",",E15,",'",F15,"', ",G15,"")</f>
        <v>EXECUTE [dbo].[PG_CI_MOTIVO_ORDEN_TRABAJO] 0, 0, 13,2,'MESA 13', 1</v>
      </c>
      <c r="J15" s="9"/>
    </row>
    <row r="16" spans="1:12" s="8" customFormat="1" ht="12" x14ac:dyDescent="0.25">
      <c r="A16" s="16"/>
      <c r="B16" s="17">
        <v>0</v>
      </c>
      <c r="C16" s="17">
        <v>0</v>
      </c>
      <c r="D16" s="21">
        <v>14</v>
      </c>
      <c r="E16" s="21">
        <v>2</v>
      </c>
      <c r="F16" s="18" t="s">
        <v>133</v>
      </c>
      <c r="G16" s="20">
        <v>1</v>
      </c>
      <c r="I16" s="19" t="str">
        <f>CONCATENATE(CI_SUB_ESTACION!$L$1,D16,",",E16,",'",F16,"', ",G16,"")</f>
        <v>EXECUTE [dbo].[PG_CI_MOTIVO_ORDEN_TRABAJO] 0, 0, 14,2,'MESA 14', 1</v>
      </c>
      <c r="J16" s="9"/>
    </row>
    <row r="17" spans="1:10" s="8" customFormat="1" ht="12" x14ac:dyDescent="0.25">
      <c r="A17" s="16"/>
      <c r="B17" s="17">
        <v>0</v>
      </c>
      <c r="C17" s="17">
        <v>0</v>
      </c>
      <c r="D17" s="21">
        <v>15</v>
      </c>
      <c r="E17" s="21">
        <v>2</v>
      </c>
      <c r="F17" s="18" t="s">
        <v>134</v>
      </c>
      <c r="G17" s="20">
        <v>1</v>
      </c>
      <c r="I17" s="19" t="str">
        <f>CONCATENATE(CI_SUB_ESTACION!$L$1,D17,",",E17,",'",F17,"', ",G17,"")</f>
        <v>EXECUTE [dbo].[PG_CI_MOTIVO_ORDEN_TRABAJO] 0, 0, 15,2,'MESA 15', 1</v>
      </c>
      <c r="J17" s="9"/>
    </row>
    <row r="18" spans="1:10" s="8" customFormat="1" ht="12" x14ac:dyDescent="0.25">
      <c r="A18" s="16"/>
      <c r="B18" s="17">
        <v>0</v>
      </c>
      <c r="C18" s="17">
        <v>0</v>
      </c>
      <c r="D18" s="21">
        <v>16</v>
      </c>
      <c r="E18" s="21">
        <v>2</v>
      </c>
      <c r="F18" s="18" t="s">
        <v>135</v>
      </c>
      <c r="G18" s="20">
        <v>1</v>
      </c>
      <c r="I18" s="19" t="str">
        <f>CONCATENATE(CI_SUB_ESTACION!$L$1,D18,",",E18,",'",F18,"', ",G18,"")</f>
        <v>EXECUTE [dbo].[PG_CI_MOTIVO_ORDEN_TRABAJO] 0, 0, 16,2,'MESA 16', 1</v>
      </c>
      <c r="J18" s="9"/>
    </row>
    <row r="19" spans="1:10" s="8" customFormat="1" ht="12" x14ac:dyDescent="0.25">
      <c r="A19" s="16"/>
      <c r="B19" s="17">
        <v>0</v>
      </c>
      <c r="C19" s="17">
        <v>0</v>
      </c>
      <c r="D19" s="21">
        <v>17</v>
      </c>
      <c r="E19" s="21">
        <v>2</v>
      </c>
      <c r="F19" s="18" t="s">
        <v>136</v>
      </c>
      <c r="G19" s="20">
        <v>1</v>
      </c>
      <c r="I19" s="19" t="str">
        <f>CONCATENATE(CI_SUB_ESTACION!$L$1,D19,",",E19,",'",F19,"', ",G19,"")</f>
        <v>EXECUTE [dbo].[PG_CI_MOTIVO_ORDEN_TRABAJO] 0, 0, 17,2,'MESA 17', 1</v>
      </c>
      <c r="J19" s="9"/>
    </row>
    <row r="20" spans="1:10" s="8" customFormat="1" ht="12" x14ac:dyDescent="0.25">
      <c r="A20" s="16"/>
      <c r="B20" s="17">
        <v>0</v>
      </c>
      <c r="C20" s="17">
        <v>0</v>
      </c>
      <c r="D20" s="21">
        <v>18</v>
      </c>
      <c r="E20" s="21">
        <v>2</v>
      </c>
      <c r="F20" s="18" t="s">
        <v>137</v>
      </c>
      <c r="G20" s="20">
        <v>1</v>
      </c>
      <c r="I20" s="19" t="str">
        <f>CONCATENATE(CI_SUB_ESTACION!$L$1,D20,",",E20,",'",F20,"', ",G20,"")</f>
        <v>EXECUTE [dbo].[PG_CI_MOTIVO_ORDEN_TRABAJO] 0, 0, 18,2,'MESA 18', 1</v>
      </c>
      <c r="J20" s="9"/>
    </row>
    <row r="21" spans="1:10" s="8" customFormat="1" ht="12" x14ac:dyDescent="0.25">
      <c r="A21" s="16"/>
      <c r="B21" s="17">
        <v>0</v>
      </c>
      <c r="C21" s="17">
        <v>0</v>
      </c>
      <c r="D21" s="21">
        <v>19</v>
      </c>
      <c r="E21" s="21">
        <v>2</v>
      </c>
      <c r="F21" s="18" t="s">
        <v>138</v>
      </c>
      <c r="G21" s="20">
        <v>1</v>
      </c>
      <c r="I21" s="19" t="str">
        <f>CONCATENATE(CI_SUB_ESTACION!$L$1,D21,",",E21,",'",F21,"', ",G21,"")</f>
        <v>EXECUTE [dbo].[PG_CI_MOTIVO_ORDEN_TRABAJO] 0, 0, 19,2,'MESA 19', 1</v>
      </c>
      <c r="J21" s="9"/>
    </row>
    <row r="22" spans="1:10" s="8" customFormat="1" ht="12" x14ac:dyDescent="0.25">
      <c r="A22" s="16"/>
      <c r="B22" s="17">
        <v>0</v>
      </c>
      <c r="C22" s="17">
        <v>0</v>
      </c>
      <c r="D22" s="21">
        <v>20</v>
      </c>
      <c r="E22" s="21">
        <v>2</v>
      </c>
      <c r="F22" s="18" t="s">
        <v>139</v>
      </c>
      <c r="G22" s="20">
        <v>1</v>
      </c>
      <c r="I22" s="19" t="str">
        <f>CONCATENATE(CI_SUB_ESTACION!$L$1,D22,",",E22,",'",F22,"', ",G22,"")</f>
        <v>EXECUTE [dbo].[PG_CI_MOTIVO_ORDEN_TRABAJO] 0, 0, 20,2,'MESA 20', 1</v>
      </c>
      <c r="J22" s="9"/>
    </row>
    <row r="23" spans="1:10" s="8" customFormat="1" ht="12" x14ac:dyDescent="0.25">
      <c r="A23" s="16"/>
      <c r="B23" s="17">
        <v>0</v>
      </c>
      <c r="C23" s="17">
        <v>0</v>
      </c>
      <c r="D23" s="21">
        <v>21</v>
      </c>
      <c r="E23" s="21">
        <v>2</v>
      </c>
      <c r="F23" s="18" t="s">
        <v>140</v>
      </c>
      <c r="G23" s="20">
        <v>1</v>
      </c>
      <c r="I23" s="19" t="str">
        <f>CONCATENATE(CI_SUB_ESTACION!$L$1,D23,",",E23,",'",F23,"', ",G23,"")</f>
        <v>EXECUTE [dbo].[PG_CI_MOTIVO_ORDEN_TRABAJO] 0, 0, 21,2,'MESA 21', 1</v>
      </c>
      <c r="J23" s="9"/>
    </row>
    <row r="24" spans="1:10" s="8" customFormat="1" ht="12" x14ac:dyDescent="0.25">
      <c r="A24" s="16"/>
      <c r="B24" s="17">
        <v>0</v>
      </c>
      <c r="C24" s="17">
        <v>0</v>
      </c>
      <c r="D24" s="21">
        <v>22</v>
      </c>
      <c r="E24" s="21">
        <v>2</v>
      </c>
      <c r="F24" s="18" t="s">
        <v>141</v>
      </c>
      <c r="G24" s="20">
        <v>1</v>
      </c>
      <c r="I24" s="19" t="str">
        <f>CONCATENATE(CI_SUB_ESTACION!$L$1,D24,",",E24,",'",F24,"', ",G24,"")</f>
        <v>EXECUTE [dbo].[PG_CI_MOTIVO_ORDEN_TRABAJO] 0, 0, 22,2,'MESA 22', 1</v>
      </c>
      <c r="J24" s="9"/>
    </row>
    <row r="25" spans="1:10" s="8" customFormat="1" ht="12" x14ac:dyDescent="0.25">
      <c r="A25" s="16"/>
      <c r="B25" s="17">
        <v>0</v>
      </c>
      <c r="C25" s="17">
        <v>0</v>
      </c>
      <c r="D25" s="21">
        <v>23</v>
      </c>
      <c r="E25" s="21">
        <v>2</v>
      </c>
      <c r="F25" s="18" t="s">
        <v>142</v>
      </c>
      <c r="G25" s="20">
        <v>1</v>
      </c>
      <c r="I25" s="19" t="str">
        <f>CONCATENATE(CI_SUB_ESTACION!$L$1,D25,",",E25,",'",F25,"', ",G25,"")</f>
        <v>EXECUTE [dbo].[PG_CI_MOTIVO_ORDEN_TRABAJO] 0, 0, 23,2,'MESA 23', 1</v>
      </c>
      <c r="J25" s="9"/>
    </row>
    <row r="26" spans="1:10" s="8" customFormat="1" ht="12" x14ac:dyDescent="0.25">
      <c r="A26" s="16"/>
      <c r="B26" s="17">
        <v>0</v>
      </c>
      <c r="C26" s="17">
        <v>0</v>
      </c>
      <c r="D26" s="21">
        <v>24</v>
      </c>
      <c r="E26" s="21">
        <v>2</v>
      </c>
      <c r="F26" s="18" t="s">
        <v>143</v>
      </c>
      <c r="G26" s="20">
        <v>1</v>
      </c>
      <c r="I26" s="19" t="str">
        <f>CONCATENATE(CI_SUB_ESTACION!$L$1,D26,",",E26,",'",F26,"', ",G26,"")</f>
        <v>EXECUTE [dbo].[PG_CI_MOTIVO_ORDEN_TRABAJO] 0, 0, 24,2,'MESA 24', 1</v>
      </c>
      <c r="J26" s="9"/>
    </row>
    <row r="27" spans="1:10" s="8" customFormat="1" ht="12" x14ac:dyDescent="0.25">
      <c r="A27" s="16"/>
      <c r="B27" s="17">
        <v>0</v>
      </c>
      <c r="C27" s="17">
        <v>0</v>
      </c>
      <c r="D27" s="21">
        <v>25</v>
      </c>
      <c r="E27" s="21">
        <v>3</v>
      </c>
      <c r="F27" s="18" t="s">
        <v>144</v>
      </c>
      <c r="G27" s="20">
        <v>1</v>
      </c>
      <c r="I27" s="19" t="str">
        <f>CONCATENATE(CI_SUB_ESTACION!$L$1,D27,",",E27,",'",F27,"', ",G27,"")</f>
        <v>EXECUTE [dbo].[PG_CI_MOTIVO_ORDEN_TRABAJO] 0, 0, 25,3,'MESA 25', 1</v>
      </c>
      <c r="J27" s="9"/>
    </row>
    <row r="28" spans="1:10" s="8" customFormat="1" ht="12" x14ac:dyDescent="0.25">
      <c r="A28" s="16"/>
      <c r="B28" s="17">
        <v>0</v>
      </c>
      <c r="C28" s="17">
        <v>0</v>
      </c>
      <c r="D28" s="21">
        <v>26</v>
      </c>
      <c r="E28" s="21">
        <v>3</v>
      </c>
      <c r="F28" s="18" t="s">
        <v>145</v>
      </c>
      <c r="G28" s="20">
        <v>1</v>
      </c>
      <c r="I28" s="19" t="str">
        <f>CONCATENATE(CI_SUB_ESTACION!$L$1,D28,",",E28,",'",F28,"', ",G28,"")</f>
        <v>EXECUTE [dbo].[PG_CI_MOTIVO_ORDEN_TRABAJO] 0, 0, 26,3,'MESA 26', 1</v>
      </c>
      <c r="J28" s="9"/>
    </row>
    <row r="29" spans="1:10" s="8" customFormat="1" ht="12" x14ac:dyDescent="0.25">
      <c r="A29" s="16"/>
      <c r="B29" s="17">
        <v>0</v>
      </c>
      <c r="C29" s="17">
        <v>0</v>
      </c>
      <c r="D29" s="21">
        <v>27</v>
      </c>
      <c r="E29" s="21">
        <v>3</v>
      </c>
      <c r="F29" s="18" t="s">
        <v>146</v>
      </c>
      <c r="G29" s="20">
        <v>1</v>
      </c>
      <c r="I29" s="19" t="str">
        <f>CONCATENATE(CI_SUB_ESTACION!$L$1,D29,",",E29,",'",F29,"', ",G29,"")</f>
        <v>EXECUTE [dbo].[PG_CI_MOTIVO_ORDEN_TRABAJO] 0, 0, 27,3,'MESA 27', 1</v>
      </c>
      <c r="J29" s="9"/>
    </row>
    <row r="30" spans="1:10" s="8" customFormat="1" ht="12" x14ac:dyDescent="0.25">
      <c r="A30" s="16"/>
      <c r="B30" s="17">
        <v>0</v>
      </c>
      <c r="C30" s="17">
        <v>0</v>
      </c>
      <c r="D30" s="21">
        <v>28</v>
      </c>
      <c r="E30" s="21">
        <v>3</v>
      </c>
      <c r="F30" s="18" t="s">
        <v>147</v>
      </c>
      <c r="G30" s="20">
        <v>1</v>
      </c>
      <c r="I30" s="19" t="str">
        <f>CONCATENATE(CI_SUB_ESTACION!$L$1,D30,",",E30,",'",F30,"', ",G30,"")</f>
        <v>EXECUTE [dbo].[PG_CI_MOTIVO_ORDEN_TRABAJO] 0, 0, 28,3,'MESA 28', 1</v>
      </c>
      <c r="J30" s="9"/>
    </row>
    <row r="31" spans="1:10" s="8" customFormat="1" ht="12" x14ac:dyDescent="0.25">
      <c r="A31" s="16"/>
      <c r="B31" s="17">
        <v>0</v>
      </c>
      <c r="C31" s="17">
        <v>0</v>
      </c>
      <c r="D31" s="21">
        <v>29</v>
      </c>
      <c r="E31" s="21">
        <v>3</v>
      </c>
      <c r="F31" s="18" t="s">
        <v>148</v>
      </c>
      <c r="G31" s="20">
        <v>1</v>
      </c>
      <c r="I31" s="19" t="str">
        <f>CONCATENATE(CI_SUB_ESTACION!$L$1,D31,",",E31,",'",F31,"', ",G31,"")</f>
        <v>EXECUTE [dbo].[PG_CI_MOTIVO_ORDEN_TRABAJO] 0, 0, 29,3,'MESA 29', 1</v>
      </c>
      <c r="J31" s="9"/>
    </row>
    <row r="32" spans="1:10" s="8" customFormat="1" ht="12" x14ac:dyDescent="0.25">
      <c r="A32" s="16"/>
      <c r="B32" s="17">
        <v>0</v>
      </c>
      <c r="C32" s="17">
        <v>0</v>
      </c>
      <c r="D32" s="21">
        <v>30</v>
      </c>
      <c r="E32" s="21">
        <v>3</v>
      </c>
      <c r="F32" s="18" t="s">
        <v>149</v>
      </c>
      <c r="G32" s="20">
        <v>1</v>
      </c>
      <c r="I32" s="19" t="str">
        <f>CONCATENATE(CI_SUB_ESTACION!$L$1,D32,",",E32,",'",F32,"', ",G32,"")</f>
        <v>EXECUTE [dbo].[PG_CI_MOTIVO_ORDEN_TRABAJO] 0, 0, 30,3,'MESA 30', 1</v>
      </c>
      <c r="J32" s="9"/>
    </row>
    <row r="33" spans="1:10" s="8" customFormat="1" ht="12" x14ac:dyDescent="0.25">
      <c r="A33" s="16"/>
      <c r="B33" s="17">
        <v>0</v>
      </c>
      <c r="C33" s="17">
        <v>0</v>
      </c>
      <c r="D33" s="21">
        <v>31</v>
      </c>
      <c r="E33" s="21">
        <v>3</v>
      </c>
      <c r="F33" s="18" t="s">
        <v>150</v>
      </c>
      <c r="G33" s="20">
        <v>1</v>
      </c>
      <c r="I33" s="19" t="str">
        <f>CONCATENATE(CI_SUB_ESTACION!$L$1,D33,",",E33,",'",F33,"', ",G33,"")</f>
        <v>EXECUTE [dbo].[PG_CI_MOTIVO_ORDEN_TRABAJO] 0, 0, 31,3,'MESA 31', 1</v>
      </c>
      <c r="J33" s="9"/>
    </row>
    <row r="34" spans="1:10" s="8" customFormat="1" ht="12" x14ac:dyDescent="0.25">
      <c r="A34" s="16"/>
      <c r="B34" s="17">
        <v>0</v>
      </c>
      <c r="C34" s="17">
        <v>0</v>
      </c>
      <c r="D34" s="21">
        <v>32</v>
      </c>
      <c r="E34" s="21">
        <v>3</v>
      </c>
      <c r="F34" s="18" t="s">
        <v>151</v>
      </c>
      <c r="G34" s="20">
        <v>1</v>
      </c>
      <c r="I34" s="19" t="str">
        <f>CONCATENATE(CI_SUB_ESTACION!$L$1,D34,",",E34,",'",F34,"', ",G34,"")</f>
        <v>EXECUTE [dbo].[PG_CI_MOTIVO_ORDEN_TRABAJO] 0, 0, 32,3,'MESA 32', 1</v>
      </c>
      <c r="J34" s="9"/>
    </row>
    <row r="35" spans="1:10" s="8" customFormat="1" ht="12" x14ac:dyDescent="0.25">
      <c r="A35" s="16"/>
      <c r="B35" s="17">
        <v>0</v>
      </c>
      <c r="C35" s="17">
        <v>0</v>
      </c>
      <c r="D35" s="21">
        <v>33</v>
      </c>
      <c r="E35" s="21">
        <v>3</v>
      </c>
      <c r="F35" s="18" t="s">
        <v>152</v>
      </c>
      <c r="G35" s="20">
        <v>1</v>
      </c>
      <c r="I35" s="19" t="str">
        <f>CONCATENATE(CI_SUB_ESTACION!$L$1,D35,",",E35,",'",F35,"', ",G35,"")</f>
        <v>EXECUTE [dbo].[PG_CI_MOTIVO_ORDEN_TRABAJO] 0, 0, 33,3,'MESA 33', 1</v>
      </c>
      <c r="J35" s="9"/>
    </row>
    <row r="36" spans="1:10" s="8" customFormat="1" ht="12" x14ac:dyDescent="0.25">
      <c r="A36" s="16"/>
      <c r="B36" s="17">
        <v>0</v>
      </c>
      <c r="C36" s="17">
        <v>0</v>
      </c>
      <c r="D36" s="21">
        <v>34</v>
      </c>
      <c r="E36" s="21">
        <v>3</v>
      </c>
      <c r="F36" s="18" t="s">
        <v>153</v>
      </c>
      <c r="G36" s="20">
        <v>1</v>
      </c>
      <c r="I36" s="19" t="str">
        <f>CONCATENATE(CI_SUB_ESTACION!$L$1,D36,",",E36,",'",F36,"', ",G36,"")</f>
        <v>EXECUTE [dbo].[PG_CI_MOTIVO_ORDEN_TRABAJO] 0, 0, 34,3,'MESA 34', 1</v>
      </c>
      <c r="J36" s="9"/>
    </row>
    <row r="37" spans="1:10" s="8" customFormat="1" ht="12" x14ac:dyDescent="0.25">
      <c r="A37" s="16"/>
      <c r="B37" s="17">
        <v>0</v>
      </c>
      <c r="C37" s="17">
        <v>0</v>
      </c>
      <c r="D37" s="21">
        <v>35</v>
      </c>
      <c r="E37" s="21">
        <v>3</v>
      </c>
      <c r="F37" s="18" t="s">
        <v>154</v>
      </c>
      <c r="G37" s="20">
        <v>1</v>
      </c>
      <c r="I37" s="19" t="str">
        <f>CONCATENATE(CI_SUB_ESTACION!$L$1,D37,",",E37,",'",F37,"', ",G37,"")</f>
        <v>EXECUTE [dbo].[PG_CI_MOTIVO_ORDEN_TRABAJO] 0, 0, 35,3,'MESA 35', 1</v>
      </c>
      <c r="J37" s="9"/>
    </row>
    <row r="38" spans="1:10" s="8" customFormat="1" ht="12" x14ac:dyDescent="0.25">
      <c r="A38" s="16"/>
      <c r="B38" s="17">
        <v>0</v>
      </c>
      <c r="C38" s="17">
        <v>0</v>
      </c>
      <c r="D38" s="21">
        <v>36</v>
      </c>
      <c r="E38" s="21">
        <v>3</v>
      </c>
      <c r="F38" s="18" t="s">
        <v>155</v>
      </c>
      <c r="G38" s="20">
        <v>1</v>
      </c>
      <c r="I38" s="19" t="str">
        <f>CONCATENATE(CI_SUB_ESTACION!$L$1,D38,",",E38,",'",F38,"', ",G38,"")</f>
        <v>EXECUTE [dbo].[PG_CI_MOTIVO_ORDEN_TRABAJO] 0, 0, 36,3,'MESA 36', 1</v>
      </c>
      <c r="J38" s="9"/>
    </row>
    <row r="39" spans="1:10" s="8" customFormat="1" ht="12" x14ac:dyDescent="0.25">
      <c r="A39" s="16"/>
      <c r="B39" s="17">
        <v>0</v>
      </c>
      <c r="C39" s="17">
        <v>0</v>
      </c>
      <c r="D39" s="21">
        <v>37</v>
      </c>
      <c r="E39" s="21">
        <v>4</v>
      </c>
      <c r="F39" s="18" t="s">
        <v>156</v>
      </c>
      <c r="G39" s="20">
        <v>1</v>
      </c>
      <c r="I39" s="19" t="str">
        <f>CONCATENATE(CI_SUB_ESTACION!$L$1,D39,",",E39,",'",F39,"', ",G39,"")</f>
        <v>EXECUTE [dbo].[PG_CI_MOTIVO_ORDEN_TRABAJO] 0, 0, 37,4,'MESA 37', 1</v>
      </c>
      <c r="J39" s="9"/>
    </row>
    <row r="40" spans="1:10" s="8" customFormat="1" ht="12" x14ac:dyDescent="0.25">
      <c r="A40" s="16"/>
      <c r="B40" s="17">
        <v>0</v>
      </c>
      <c r="C40" s="17">
        <v>0</v>
      </c>
      <c r="D40" s="21">
        <v>38</v>
      </c>
      <c r="E40" s="21">
        <v>4</v>
      </c>
      <c r="F40" s="18" t="s">
        <v>157</v>
      </c>
      <c r="G40" s="20">
        <v>1</v>
      </c>
      <c r="I40" s="19" t="str">
        <f>CONCATENATE(CI_SUB_ESTACION!$L$1,D40,",",E40,",'",F40,"', ",G40,"")</f>
        <v>EXECUTE [dbo].[PG_CI_MOTIVO_ORDEN_TRABAJO] 0, 0, 38,4,'MESA 38', 1</v>
      </c>
      <c r="J40" s="9"/>
    </row>
    <row r="41" spans="1:10" s="8" customFormat="1" ht="12" x14ac:dyDescent="0.25">
      <c r="A41" s="16"/>
      <c r="B41" s="17">
        <v>0</v>
      </c>
      <c r="C41" s="17">
        <v>0</v>
      </c>
      <c r="D41" s="21">
        <v>39</v>
      </c>
      <c r="E41" s="21">
        <v>4</v>
      </c>
      <c r="F41" s="18" t="s">
        <v>158</v>
      </c>
      <c r="G41" s="20">
        <v>1</v>
      </c>
      <c r="I41" s="19" t="str">
        <f>CONCATENATE(CI_SUB_ESTACION!$L$1,D41,",",E41,",'",F41,"', ",G41,"")</f>
        <v>EXECUTE [dbo].[PG_CI_MOTIVO_ORDEN_TRABAJO] 0, 0, 39,4,'MESA 39', 1</v>
      </c>
      <c r="J41" s="9"/>
    </row>
    <row r="42" spans="1:10" s="8" customFormat="1" ht="12" x14ac:dyDescent="0.25">
      <c r="A42" s="16"/>
      <c r="B42" s="17">
        <v>0</v>
      </c>
      <c r="C42" s="17">
        <v>0</v>
      </c>
      <c r="D42" s="21">
        <v>40</v>
      </c>
      <c r="E42" s="21">
        <v>4</v>
      </c>
      <c r="F42" s="18" t="s">
        <v>159</v>
      </c>
      <c r="G42" s="20">
        <v>1</v>
      </c>
      <c r="I42" s="19" t="str">
        <f>CONCATENATE(CI_SUB_ESTACION!$L$1,D42,",",E42,",'",F42,"', ",G42,"")</f>
        <v>EXECUTE [dbo].[PG_CI_MOTIVO_ORDEN_TRABAJO] 0, 0, 40,4,'MESA 40', 1</v>
      </c>
      <c r="J42" s="9"/>
    </row>
    <row r="43" spans="1:10" s="8" customFormat="1" ht="12" x14ac:dyDescent="0.25">
      <c r="A43" s="16"/>
      <c r="B43" s="17">
        <v>0</v>
      </c>
      <c r="C43" s="17">
        <v>0</v>
      </c>
      <c r="D43" s="21">
        <v>41</v>
      </c>
      <c r="E43" s="21">
        <v>4</v>
      </c>
      <c r="F43" s="18" t="s">
        <v>160</v>
      </c>
      <c r="G43" s="20">
        <v>1</v>
      </c>
      <c r="I43" s="19" t="str">
        <f>CONCATENATE(CI_SUB_ESTACION!$L$1,D43,",",E43,",'",F43,"', ",G43,"")</f>
        <v>EXECUTE [dbo].[PG_CI_MOTIVO_ORDEN_TRABAJO] 0, 0, 41,4,'MESA 41', 1</v>
      </c>
      <c r="J43" s="9"/>
    </row>
    <row r="44" spans="1:10" s="8" customFormat="1" ht="12" x14ac:dyDescent="0.25">
      <c r="A44" s="16"/>
      <c r="B44" s="17">
        <v>0</v>
      </c>
      <c r="C44" s="17">
        <v>0</v>
      </c>
      <c r="D44" s="21">
        <v>42</v>
      </c>
      <c r="E44" s="21">
        <v>4</v>
      </c>
      <c r="F44" s="18" t="s">
        <v>161</v>
      </c>
      <c r="G44" s="20">
        <v>1</v>
      </c>
      <c r="I44" s="19" t="str">
        <f>CONCATENATE(CI_SUB_ESTACION!$L$1,D44,",",E44,",'",F44,"', ",G44,"")</f>
        <v>EXECUTE [dbo].[PG_CI_MOTIVO_ORDEN_TRABAJO] 0, 0, 42,4,'MESA 42', 1</v>
      </c>
      <c r="J44" s="9"/>
    </row>
    <row r="45" spans="1:10" s="8" customFormat="1" ht="12" x14ac:dyDescent="0.25">
      <c r="A45" s="16"/>
      <c r="B45" s="17">
        <v>0</v>
      </c>
      <c r="C45" s="17">
        <v>0</v>
      </c>
      <c r="D45" s="21">
        <v>43</v>
      </c>
      <c r="E45" s="21">
        <v>4</v>
      </c>
      <c r="F45" s="18" t="s">
        <v>162</v>
      </c>
      <c r="G45" s="20">
        <v>1</v>
      </c>
      <c r="I45" s="19" t="str">
        <f>CONCATENATE(CI_SUB_ESTACION!$L$1,D45,",",E45,",'",F45,"', ",G45,"")</f>
        <v>EXECUTE [dbo].[PG_CI_MOTIVO_ORDEN_TRABAJO] 0, 0, 43,4,'MESA 43', 1</v>
      </c>
      <c r="J45" s="9"/>
    </row>
    <row r="46" spans="1:10" s="8" customFormat="1" ht="12" x14ac:dyDescent="0.25">
      <c r="A46" s="16"/>
      <c r="B46" s="17">
        <v>0</v>
      </c>
      <c r="C46" s="17">
        <v>0</v>
      </c>
      <c r="D46" s="21">
        <v>44</v>
      </c>
      <c r="E46" s="21">
        <v>4</v>
      </c>
      <c r="F46" s="18" t="s">
        <v>163</v>
      </c>
      <c r="G46" s="20">
        <v>1</v>
      </c>
      <c r="I46" s="19" t="str">
        <f>CONCATENATE(CI_SUB_ESTACION!$L$1,D46,",",E46,",'",F46,"', ",G46,"")</f>
        <v>EXECUTE [dbo].[PG_CI_MOTIVO_ORDEN_TRABAJO] 0, 0, 44,4,'MESA 44', 1</v>
      </c>
      <c r="J46" s="9"/>
    </row>
    <row r="47" spans="1:10" s="8" customFormat="1" ht="12" x14ac:dyDescent="0.25">
      <c r="A47" s="16"/>
      <c r="B47" s="17">
        <v>0</v>
      </c>
      <c r="C47" s="17">
        <v>0</v>
      </c>
      <c r="D47" s="21">
        <v>45</v>
      </c>
      <c r="E47" s="21">
        <v>4</v>
      </c>
      <c r="F47" s="18" t="s">
        <v>164</v>
      </c>
      <c r="G47" s="20">
        <v>1</v>
      </c>
      <c r="I47" s="19" t="str">
        <f>CONCATENATE(CI_SUB_ESTACION!$L$1,D47,",",E47,",'",F47,"', ",G47,"")</f>
        <v>EXECUTE [dbo].[PG_CI_MOTIVO_ORDEN_TRABAJO] 0, 0, 45,4,'MESA 45', 1</v>
      </c>
      <c r="J47" s="9"/>
    </row>
    <row r="48" spans="1:10" s="8" customFormat="1" ht="12" x14ac:dyDescent="0.25">
      <c r="A48" s="16"/>
      <c r="B48" s="17">
        <v>0</v>
      </c>
      <c r="C48" s="17">
        <v>0</v>
      </c>
      <c r="D48" s="21">
        <v>46</v>
      </c>
      <c r="E48" s="21">
        <v>4</v>
      </c>
      <c r="F48" s="18" t="s">
        <v>165</v>
      </c>
      <c r="G48" s="20">
        <v>1</v>
      </c>
      <c r="I48" s="19" t="str">
        <f>CONCATENATE(CI_SUB_ESTACION!$L$1,D48,",",E48,",'",F48,"', ",G48,"")</f>
        <v>EXECUTE [dbo].[PG_CI_MOTIVO_ORDEN_TRABAJO] 0, 0, 46,4,'MESA 46', 1</v>
      </c>
      <c r="J48" s="9"/>
    </row>
    <row r="49" spans="1:10" s="8" customFormat="1" ht="12" x14ac:dyDescent="0.25">
      <c r="A49" s="16"/>
      <c r="B49" s="17">
        <v>0</v>
      </c>
      <c r="C49" s="17">
        <v>0</v>
      </c>
      <c r="D49" s="21">
        <v>47</v>
      </c>
      <c r="E49" s="21">
        <v>4</v>
      </c>
      <c r="F49" s="18" t="s">
        <v>166</v>
      </c>
      <c r="G49" s="20">
        <v>1</v>
      </c>
      <c r="I49" s="19" t="str">
        <f>CONCATENATE(CI_SUB_ESTACION!$L$1,D49,",",E49,",'",F49,"', ",G49,"")</f>
        <v>EXECUTE [dbo].[PG_CI_MOTIVO_ORDEN_TRABAJO] 0, 0, 47,4,'MESA 47', 1</v>
      </c>
      <c r="J49" s="9"/>
    </row>
    <row r="50" spans="1:10" s="8" customFormat="1" ht="12" x14ac:dyDescent="0.25">
      <c r="A50" s="16"/>
      <c r="B50" s="17">
        <v>0</v>
      </c>
      <c r="C50" s="17">
        <v>0</v>
      </c>
      <c r="D50" s="21">
        <v>48</v>
      </c>
      <c r="E50" s="21">
        <v>4</v>
      </c>
      <c r="F50" s="18" t="s">
        <v>167</v>
      </c>
      <c r="G50" s="20">
        <v>1</v>
      </c>
      <c r="I50" s="19" t="str">
        <f>CONCATENATE(CI_SUB_ESTACION!$L$1,D50,",",E50,",'",F50,"', ",G50,"")</f>
        <v>EXECUTE [dbo].[PG_CI_MOTIVO_ORDEN_TRABAJO] 0, 0, 48,4,'MESA 48', 1</v>
      </c>
      <c r="J50" s="9"/>
    </row>
    <row r="51" spans="1:10" s="8" customFormat="1" ht="12" x14ac:dyDescent="0.25">
      <c r="A51" s="16"/>
      <c r="B51" s="17">
        <v>0</v>
      </c>
      <c r="C51" s="17">
        <v>0</v>
      </c>
      <c r="D51" s="21">
        <v>49</v>
      </c>
      <c r="E51" s="21">
        <v>5</v>
      </c>
      <c r="F51" s="18" t="s">
        <v>168</v>
      </c>
      <c r="G51" s="20">
        <v>1</v>
      </c>
      <c r="I51" s="19" t="str">
        <f>CONCATENATE(CI_SUB_ESTACION!$L$1,D51,",",E51,",'",F51,"', ",G51,"")</f>
        <v>EXECUTE [dbo].[PG_CI_MOTIVO_ORDEN_TRABAJO] 0, 0, 49,5,'MESA 49', 1</v>
      </c>
      <c r="J51" s="9"/>
    </row>
    <row r="52" spans="1:10" s="8" customFormat="1" ht="12" x14ac:dyDescent="0.25">
      <c r="A52" s="16"/>
      <c r="B52" s="17">
        <v>0</v>
      </c>
      <c r="C52" s="17">
        <v>0</v>
      </c>
      <c r="D52" s="21">
        <v>50</v>
      </c>
      <c r="E52" s="21">
        <v>5</v>
      </c>
      <c r="F52" s="18" t="s">
        <v>169</v>
      </c>
      <c r="G52" s="20">
        <v>1</v>
      </c>
      <c r="I52" s="19" t="str">
        <f>CONCATENATE(CI_SUB_ESTACION!$L$1,D52,",",E52,",'",F52,"', ",G52,"")</f>
        <v>EXECUTE [dbo].[PG_CI_MOTIVO_ORDEN_TRABAJO] 0, 0, 50,5,'MESA 50', 1</v>
      </c>
      <c r="J52" s="9"/>
    </row>
    <row r="53" spans="1:10" s="8" customFormat="1" ht="12" x14ac:dyDescent="0.25">
      <c r="A53" s="16"/>
      <c r="B53" s="17">
        <v>0</v>
      </c>
      <c r="C53" s="17">
        <v>0</v>
      </c>
      <c r="D53" s="21">
        <v>51</v>
      </c>
      <c r="E53" s="21">
        <v>5</v>
      </c>
      <c r="F53" s="18" t="s">
        <v>170</v>
      </c>
      <c r="G53" s="20">
        <v>1</v>
      </c>
      <c r="I53" s="19" t="str">
        <f>CONCATENATE(CI_SUB_ESTACION!$L$1,D53,",",E53,",'",F53,"', ",G53,"")</f>
        <v>EXECUTE [dbo].[PG_CI_MOTIVO_ORDEN_TRABAJO] 0, 0, 51,5,'MESA 51', 1</v>
      </c>
      <c r="J53" s="9"/>
    </row>
    <row r="54" spans="1:10" s="8" customFormat="1" ht="12" x14ac:dyDescent="0.25">
      <c r="A54" s="16"/>
      <c r="B54" s="17">
        <v>0</v>
      </c>
      <c r="C54" s="17">
        <v>0</v>
      </c>
      <c r="D54" s="21">
        <v>52</v>
      </c>
      <c r="E54" s="21">
        <v>5</v>
      </c>
      <c r="F54" s="18" t="s">
        <v>171</v>
      </c>
      <c r="G54" s="20">
        <v>1</v>
      </c>
      <c r="I54" s="19" t="str">
        <f>CONCATENATE(CI_SUB_ESTACION!$L$1,D54,",",E54,",'",F54,"', ",G54,"")</f>
        <v>EXECUTE [dbo].[PG_CI_MOTIVO_ORDEN_TRABAJO] 0, 0, 52,5,'MESA 52', 1</v>
      </c>
      <c r="J54" s="9"/>
    </row>
    <row r="55" spans="1:10" s="8" customFormat="1" ht="12" x14ac:dyDescent="0.25">
      <c r="A55" s="16"/>
      <c r="B55" s="17">
        <v>0</v>
      </c>
      <c r="C55" s="17">
        <v>0</v>
      </c>
      <c r="D55" s="21">
        <v>53</v>
      </c>
      <c r="E55" s="21">
        <v>5</v>
      </c>
      <c r="F55" s="18" t="s">
        <v>172</v>
      </c>
      <c r="G55" s="20">
        <v>1</v>
      </c>
      <c r="I55" s="19" t="str">
        <f>CONCATENATE(CI_SUB_ESTACION!$L$1,D55,",",E55,",'",F55,"', ",G55,"")</f>
        <v>EXECUTE [dbo].[PG_CI_MOTIVO_ORDEN_TRABAJO] 0, 0, 53,5,'MESA 53', 1</v>
      </c>
      <c r="J55" s="9"/>
    </row>
    <row r="56" spans="1:10" s="8" customFormat="1" ht="12" x14ac:dyDescent="0.25">
      <c r="A56" s="16"/>
      <c r="B56" s="17">
        <v>0</v>
      </c>
      <c r="C56" s="17">
        <v>0</v>
      </c>
      <c r="D56" s="21">
        <v>54</v>
      </c>
      <c r="E56" s="21">
        <v>5</v>
      </c>
      <c r="F56" s="18" t="s">
        <v>173</v>
      </c>
      <c r="G56" s="20">
        <v>1</v>
      </c>
      <c r="I56" s="19" t="str">
        <f>CONCATENATE(CI_SUB_ESTACION!$L$1,D56,",",E56,",'",F56,"', ",G56,"")</f>
        <v>EXECUTE [dbo].[PG_CI_MOTIVO_ORDEN_TRABAJO] 0, 0, 54,5,'MESA 54', 1</v>
      </c>
      <c r="J56" s="9"/>
    </row>
    <row r="57" spans="1:10" s="8" customFormat="1" ht="12" x14ac:dyDescent="0.25">
      <c r="A57" s="16"/>
      <c r="B57" s="17">
        <v>0</v>
      </c>
      <c r="C57" s="17">
        <v>0</v>
      </c>
      <c r="D57" s="21">
        <v>55</v>
      </c>
      <c r="E57" s="21">
        <v>5</v>
      </c>
      <c r="F57" s="18" t="s">
        <v>174</v>
      </c>
      <c r="G57" s="20">
        <v>1</v>
      </c>
      <c r="I57" s="19" t="str">
        <f>CONCATENATE(CI_SUB_ESTACION!$L$1,D57,",",E57,",'",F57,"', ",G57,"")</f>
        <v>EXECUTE [dbo].[PG_CI_MOTIVO_ORDEN_TRABAJO] 0, 0, 55,5,'MESA 55', 1</v>
      </c>
      <c r="J57" s="9"/>
    </row>
    <row r="58" spans="1:10" s="8" customFormat="1" ht="12" x14ac:dyDescent="0.25">
      <c r="A58" s="16"/>
      <c r="B58" s="17">
        <v>0</v>
      </c>
      <c r="C58" s="17">
        <v>0</v>
      </c>
      <c r="D58" s="21">
        <v>56</v>
      </c>
      <c r="E58" s="21">
        <v>5</v>
      </c>
      <c r="F58" s="18" t="s">
        <v>175</v>
      </c>
      <c r="G58" s="20">
        <v>1</v>
      </c>
      <c r="I58" s="19" t="str">
        <f>CONCATENATE(CI_SUB_ESTACION!$L$1,D58,",",E58,",'",F58,"', ",G58,"")</f>
        <v>EXECUTE [dbo].[PG_CI_MOTIVO_ORDEN_TRABAJO] 0, 0, 56,5,'MESA 56', 1</v>
      </c>
      <c r="J58" s="9"/>
    </row>
    <row r="59" spans="1:10" s="8" customFormat="1" ht="12" x14ac:dyDescent="0.25">
      <c r="A59" s="16"/>
      <c r="B59" s="17">
        <v>0</v>
      </c>
      <c r="C59" s="17">
        <v>0</v>
      </c>
      <c r="D59" s="21">
        <v>57</v>
      </c>
      <c r="E59" s="21">
        <v>5</v>
      </c>
      <c r="F59" s="18" t="s">
        <v>176</v>
      </c>
      <c r="G59" s="20">
        <v>1</v>
      </c>
      <c r="I59" s="19" t="str">
        <f>CONCATENATE(CI_SUB_ESTACION!$L$1,D59,",",E59,",'",F59,"', ",G59,"")</f>
        <v>EXECUTE [dbo].[PG_CI_MOTIVO_ORDEN_TRABAJO] 0, 0, 57,5,'MESA 57', 1</v>
      </c>
      <c r="J59" s="9"/>
    </row>
    <row r="60" spans="1:10" s="8" customFormat="1" ht="12" x14ac:dyDescent="0.25">
      <c r="A60" s="16"/>
      <c r="B60" s="17">
        <v>0</v>
      </c>
      <c r="C60" s="17">
        <v>0</v>
      </c>
      <c r="D60" s="21">
        <v>58</v>
      </c>
      <c r="E60" s="21">
        <v>5</v>
      </c>
      <c r="F60" s="18" t="s">
        <v>177</v>
      </c>
      <c r="G60" s="20">
        <v>1</v>
      </c>
      <c r="I60" s="19" t="str">
        <f>CONCATENATE(CI_SUB_ESTACION!$L$1,D60,",",E60,",'",F60,"', ",G60,"")</f>
        <v>EXECUTE [dbo].[PG_CI_MOTIVO_ORDEN_TRABAJO] 0, 0, 58,5,'MESA 58', 1</v>
      </c>
      <c r="J60" s="9"/>
    </row>
    <row r="61" spans="1:10" s="8" customFormat="1" ht="12" x14ac:dyDescent="0.25">
      <c r="A61" s="16"/>
      <c r="B61" s="17">
        <v>0</v>
      </c>
      <c r="C61" s="17">
        <v>0</v>
      </c>
      <c r="D61" s="21">
        <v>59</v>
      </c>
      <c r="E61" s="21">
        <v>5</v>
      </c>
      <c r="F61" s="18" t="s">
        <v>178</v>
      </c>
      <c r="G61" s="20">
        <v>1</v>
      </c>
      <c r="I61" s="19" t="str">
        <f>CONCATENATE(CI_SUB_ESTACION!$L$1,D61,",",E61,",'",F61,"', ",G61,"")</f>
        <v>EXECUTE [dbo].[PG_CI_MOTIVO_ORDEN_TRABAJO] 0, 0, 59,5,'MESA 59', 1</v>
      </c>
      <c r="J61" s="9"/>
    </row>
    <row r="62" spans="1:10" s="8" customFormat="1" ht="12" x14ac:dyDescent="0.25">
      <c r="A62" s="16"/>
      <c r="B62" s="17">
        <v>0</v>
      </c>
      <c r="C62" s="17">
        <v>0</v>
      </c>
      <c r="D62" s="21">
        <v>60</v>
      </c>
      <c r="E62" s="21">
        <v>5</v>
      </c>
      <c r="F62" s="18" t="s">
        <v>179</v>
      </c>
      <c r="G62" s="20">
        <v>1</v>
      </c>
      <c r="I62" s="19" t="str">
        <f>CONCATENATE(CI_SUB_ESTACION!$L$1,D62,",",E62,",'",F62,"', ",G62,"")</f>
        <v>EXECUTE [dbo].[PG_CI_MOTIVO_ORDEN_TRABAJO] 0, 0, 60,5,'MESA 60', 1</v>
      </c>
      <c r="J62" s="9"/>
    </row>
    <row r="63" spans="1:10" s="8" customFormat="1" ht="12" x14ac:dyDescent="0.25">
      <c r="A63" s="16"/>
      <c r="B63" s="17">
        <v>0</v>
      </c>
      <c r="C63" s="17">
        <v>0</v>
      </c>
      <c r="D63" s="21">
        <v>61</v>
      </c>
      <c r="E63" s="21">
        <v>6</v>
      </c>
      <c r="F63" s="18" t="s">
        <v>180</v>
      </c>
      <c r="G63" s="20">
        <v>1</v>
      </c>
      <c r="I63" s="19" t="str">
        <f>CONCATENATE(CI_SUB_ESTACION!$L$1,D63,",",E63,",'",F63,"', ",G63,"")</f>
        <v>EXECUTE [dbo].[PG_CI_MOTIVO_ORDEN_TRABAJO] 0, 0, 61,6,'MESA 61', 1</v>
      </c>
      <c r="J63" s="9"/>
    </row>
    <row r="64" spans="1:10" s="8" customFormat="1" ht="12" x14ac:dyDescent="0.25">
      <c r="A64" s="16"/>
      <c r="B64" s="17">
        <v>0</v>
      </c>
      <c r="C64" s="17">
        <v>0</v>
      </c>
      <c r="D64" s="21">
        <v>62</v>
      </c>
      <c r="E64" s="21">
        <v>6</v>
      </c>
      <c r="F64" s="18" t="s">
        <v>181</v>
      </c>
      <c r="G64" s="20">
        <v>1</v>
      </c>
      <c r="I64" s="19" t="str">
        <f>CONCATENATE(CI_SUB_ESTACION!$L$1,D64,",",E64,",'",F64,"', ",G64,"")</f>
        <v>EXECUTE [dbo].[PG_CI_MOTIVO_ORDEN_TRABAJO] 0, 0, 62,6,'MESA 62', 1</v>
      </c>
      <c r="J64" s="9"/>
    </row>
    <row r="65" spans="1:10" s="8" customFormat="1" ht="12" x14ac:dyDescent="0.25">
      <c r="A65" s="16"/>
      <c r="B65" s="17">
        <v>0</v>
      </c>
      <c r="C65" s="17">
        <v>0</v>
      </c>
      <c r="D65" s="21">
        <v>63</v>
      </c>
      <c r="E65" s="21">
        <v>6</v>
      </c>
      <c r="F65" s="18" t="s">
        <v>182</v>
      </c>
      <c r="G65" s="20">
        <v>1</v>
      </c>
      <c r="I65" s="19" t="str">
        <f>CONCATENATE(CI_SUB_ESTACION!$L$1,D65,",",E65,",'",F65,"', ",G65,"")</f>
        <v>EXECUTE [dbo].[PG_CI_MOTIVO_ORDEN_TRABAJO] 0, 0, 63,6,'MESA 63', 1</v>
      </c>
      <c r="J65" s="9"/>
    </row>
    <row r="66" spans="1:10" s="8" customFormat="1" ht="12" x14ac:dyDescent="0.25">
      <c r="A66" s="16"/>
      <c r="B66" s="17">
        <v>0</v>
      </c>
      <c r="C66" s="17">
        <v>0</v>
      </c>
      <c r="D66" s="21">
        <v>64</v>
      </c>
      <c r="E66" s="21">
        <v>6</v>
      </c>
      <c r="F66" s="18" t="s">
        <v>183</v>
      </c>
      <c r="G66" s="20">
        <v>1</v>
      </c>
      <c r="I66" s="19" t="str">
        <f>CONCATENATE(CI_SUB_ESTACION!$L$1,D66,",",E66,",'",F66,"', ",G66,"")</f>
        <v>EXECUTE [dbo].[PG_CI_MOTIVO_ORDEN_TRABAJO] 0, 0, 64,6,'MESA 64', 1</v>
      </c>
      <c r="J66" s="9"/>
    </row>
    <row r="67" spans="1:10" s="8" customFormat="1" ht="12" x14ac:dyDescent="0.25">
      <c r="A67" s="16"/>
      <c r="B67" s="17">
        <v>0</v>
      </c>
      <c r="C67" s="17">
        <v>0</v>
      </c>
      <c r="D67" s="21">
        <v>65</v>
      </c>
      <c r="E67" s="21">
        <v>6</v>
      </c>
      <c r="F67" s="18" t="s">
        <v>184</v>
      </c>
      <c r="G67" s="20">
        <v>1</v>
      </c>
      <c r="I67" s="19" t="str">
        <f>CONCATENATE(CI_SUB_ESTACION!$L$1,D67,",",E67,",'",F67,"', ",G67,"")</f>
        <v>EXECUTE [dbo].[PG_CI_MOTIVO_ORDEN_TRABAJO] 0, 0, 65,6,'MESA 65', 1</v>
      </c>
      <c r="J67" s="9"/>
    </row>
    <row r="68" spans="1:10" s="8" customFormat="1" ht="12" x14ac:dyDescent="0.25">
      <c r="A68" s="16"/>
      <c r="B68" s="17">
        <v>0</v>
      </c>
      <c r="C68" s="17">
        <v>0</v>
      </c>
      <c r="D68" s="21">
        <v>66</v>
      </c>
      <c r="E68" s="21">
        <v>6</v>
      </c>
      <c r="F68" s="18" t="s">
        <v>185</v>
      </c>
      <c r="G68" s="20">
        <v>1</v>
      </c>
      <c r="I68" s="19" t="str">
        <f>CONCATENATE(CI_SUB_ESTACION!$L$1,D68,",",E68,",'",F68,"', ",G68,"")</f>
        <v>EXECUTE [dbo].[PG_CI_MOTIVO_ORDEN_TRABAJO] 0, 0, 66,6,'MESA 66', 1</v>
      </c>
      <c r="J68" s="9"/>
    </row>
    <row r="69" spans="1:10" s="8" customFormat="1" ht="12" x14ac:dyDescent="0.25">
      <c r="A69" s="16"/>
      <c r="B69" s="17">
        <v>0</v>
      </c>
      <c r="C69" s="17">
        <v>0</v>
      </c>
      <c r="D69" s="21">
        <v>67</v>
      </c>
      <c r="E69" s="21">
        <v>6</v>
      </c>
      <c r="F69" s="18" t="s">
        <v>186</v>
      </c>
      <c r="G69" s="20">
        <v>1</v>
      </c>
      <c r="I69" s="19" t="str">
        <f>CONCATENATE(CI_SUB_ESTACION!$L$1,D69,",",E69,",'",F69,"', ",G69,"")</f>
        <v>EXECUTE [dbo].[PG_CI_MOTIVO_ORDEN_TRABAJO] 0, 0, 67,6,'MESA 67', 1</v>
      </c>
      <c r="J69" s="9"/>
    </row>
    <row r="70" spans="1:10" s="8" customFormat="1" ht="12" x14ac:dyDescent="0.25">
      <c r="A70" s="16"/>
      <c r="B70" s="17">
        <v>0</v>
      </c>
      <c r="C70" s="17">
        <v>0</v>
      </c>
      <c r="D70" s="21">
        <v>68</v>
      </c>
      <c r="E70" s="21">
        <v>6</v>
      </c>
      <c r="F70" s="18" t="s">
        <v>187</v>
      </c>
      <c r="G70" s="20">
        <v>1</v>
      </c>
      <c r="I70" s="19" t="str">
        <f>CONCATENATE(CI_SUB_ESTACION!$L$1,D70,",",E70,",'",F70,"', ",G70,"")</f>
        <v>EXECUTE [dbo].[PG_CI_MOTIVO_ORDEN_TRABAJO] 0, 0, 68,6,'MESA 68', 1</v>
      </c>
      <c r="J70" s="9"/>
    </row>
    <row r="71" spans="1:10" s="8" customFormat="1" ht="12" x14ac:dyDescent="0.25">
      <c r="A71" s="16"/>
      <c r="B71" s="17">
        <v>0</v>
      </c>
      <c r="C71" s="17">
        <v>0</v>
      </c>
      <c r="D71" s="21">
        <v>69</v>
      </c>
      <c r="E71" s="21">
        <v>6</v>
      </c>
      <c r="F71" s="18" t="s">
        <v>188</v>
      </c>
      <c r="G71" s="20">
        <v>1</v>
      </c>
      <c r="I71" s="19" t="str">
        <f>CONCATENATE(CI_SUB_ESTACION!$L$1,D71,",",E71,",'",F71,"', ",G71,"")</f>
        <v>EXECUTE [dbo].[PG_CI_MOTIVO_ORDEN_TRABAJO] 0, 0, 69,6,'MESA 69', 1</v>
      </c>
      <c r="J71" s="9"/>
    </row>
    <row r="72" spans="1:10" s="8" customFormat="1" ht="12" x14ac:dyDescent="0.25">
      <c r="A72" s="16"/>
      <c r="B72" s="17">
        <v>0</v>
      </c>
      <c r="C72" s="17">
        <v>0</v>
      </c>
      <c r="D72" s="21">
        <v>70</v>
      </c>
      <c r="E72" s="21">
        <v>6</v>
      </c>
      <c r="F72" s="18" t="s">
        <v>189</v>
      </c>
      <c r="G72" s="20">
        <v>1</v>
      </c>
      <c r="I72" s="19" t="str">
        <f>CONCATENATE(CI_SUB_ESTACION!$L$1,D72,",",E72,",'",F72,"', ",G72,"")</f>
        <v>EXECUTE [dbo].[PG_CI_MOTIVO_ORDEN_TRABAJO] 0, 0, 70,6,'MESA 70', 1</v>
      </c>
      <c r="J72" s="9"/>
    </row>
    <row r="73" spans="1:10" s="8" customFormat="1" ht="12" x14ac:dyDescent="0.25">
      <c r="A73" s="16"/>
      <c r="B73" s="17">
        <v>0</v>
      </c>
      <c r="C73" s="17">
        <v>0</v>
      </c>
      <c r="D73" s="21">
        <v>71</v>
      </c>
      <c r="E73" s="21">
        <v>6</v>
      </c>
      <c r="F73" s="18" t="s">
        <v>190</v>
      </c>
      <c r="G73" s="20">
        <v>1</v>
      </c>
      <c r="I73" s="19" t="str">
        <f>CONCATENATE(CI_SUB_ESTACION!$L$1,D73,",",E73,",'",F73,"', ",G73,"")</f>
        <v>EXECUTE [dbo].[PG_CI_MOTIVO_ORDEN_TRABAJO] 0, 0, 71,6,'MESA 71', 1</v>
      </c>
      <c r="J73" s="9"/>
    </row>
    <row r="74" spans="1:10" s="8" customFormat="1" ht="12" x14ac:dyDescent="0.25">
      <c r="A74" s="16"/>
      <c r="B74" s="17">
        <v>0</v>
      </c>
      <c r="C74" s="17">
        <v>0</v>
      </c>
      <c r="D74" s="21">
        <v>72</v>
      </c>
      <c r="E74" s="21">
        <v>6</v>
      </c>
      <c r="F74" s="18" t="s">
        <v>191</v>
      </c>
      <c r="G74" s="20">
        <v>1</v>
      </c>
      <c r="I74" s="19" t="str">
        <f>CONCATENATE(CI_SUB_ESTACION!$L$1,D74,",",E74,",'",F74,"', ",G74,"")</f>
        <v>EXECUTE [dbo].[PG_CI_MOTIVO_ORDEN_TRABAJO] 0, 0, 72,6,'MESA 72', 1</v>
      </c>
      <c r="J74" s="9"/>
    </row>
    <row r="75" spans="1:10" s="8" customFormat="1" ht="12" x14ac:dyDescent="0.25">
      <c r="A75" s="16"/>
      <c r="B75" s="17">
        <v>0</v>
      </c>
      <c r="C75" s="17">
        <v>0</v>
      </c>
      <c r="D75" s="21">
        <v>73</v>
      </c>
      <c r="E75" s="21">
        <v>7</v>
      </c>
      <c r="F75" s="18" t="s">
        <v>192</v>
      </c>
      <c r="G75" s="20">
        <v>1</v>
      </c>
      <c r="I75" s="19" t="str">
        <f>CONCATENATE(CI_SUB_ESTACION!$L$1,D75,",",E75,",'",F75,"', ",G75,"")</f>
        <v>EXECUTE [dbo].[PG_CI_MOTIVO_ORDEN_TRABAJO] 0, 0, 73,7,'MESA 73', 1</v>
      </c>
      <c r="J75" s="9"/>
    </row>
    <row r="76" spans="1:10" s="8" customFormat="1" ht="12" x14ac:dyDescent="0.25">
      <c r="A76" s="16"/>
      <c r="B76" s="17">
        <v>0</v>
      </c>
      <c r="C76" s="17">
        <v>0</v>
      </c>
      <c r="D76" s="21">
        <v>74</v>
      </c>
      <c r="E76" s="21">
        <v>7</v>
      </c>
      <c r="F76" s="18" t="s">
        <v>193</v>
      </c>
      <c r="G76" s="20">
        <v>1</v>
      </c>
      <c r="I76" s="19" t="str">
        <f>CONCATENATE(CI_SUB_ESTACION!$L$1,D76,",",E76,",'",F76,"', ",G76,"")</f>
        <v>EXECUTE [dbo].[PG_CI_MOTIVO_ORDEN_TRABAJO] 0, 0, 74,7,'MESA 74', 1</v>
      </c>
      <c r="J76" s="9"/>
    </row>
    <row r="77" spans="1:10" s="8" customFormat="1" ht="12" x14ac:dyDescent="0.25">
      <c r="A77" s="16"/>
      <c r="B77" s="17">
        <v>0</v>
      </c>
      <c r="C77" s="17">
        <v>0</v>
      </c>
      <c r="D77" s="21">
        <v>75</v>
      </c>
      <c r="E77" s="21">
        <v>7</v>
      </c>
      <c r="F77" s="18" t="s">
        <v>194</v>
      </c>
      <c r="G77" s="20">
        <v>1</v>
      </c>
      <c r="I77" s="19" t="str">
        <f>CONCATENATE(CI_SUB_ESTACION!$L$1,D77,",",E77,",'",F77,"', ",G77,"")</f>
        <v>EXECUTE [dbo].[PG_CI_MOTIVO_ORDEN_TRABAJO] 0, 0, 75,7,'MESA 75', 1</v>
      </c>
      <c r="J77" s="9"/>
    </row>
    <row r="78" spans="1:10" s="8" customFormat="1" ht="12" x14ac:dyDescent="0.25">
      <c r="A78" s="16"/>
      <c r="B78" s="17">
        <v>0</v>
      </c>
      <c r="C78" s="17">
        <v>0</v>
      </c>
      <c r="D78" s="21">
        <v>76</v>
      </c>
      <c r="E78" s="21">
        <v>7</v>
      </c>
      <c r="F78" s="18" t="s">
        <v>195</v>
      </c>
      <c r="G78" s="20">
        <v>1</v>
      </c>
      <c r="I78" s="19" t="str">
        <f>CONCATENATE(CI_SUB_ESTACION!$L$1,D78,",",E78,",'",F78,"', ",G78,"")</f>
        <v>EXECUTE [dbo].[PG_CI_MOTIVO_ORDEN_TRABAJO] 0, 0, 76,7,'MESA 76', 1</v>
      </c>
      <c r="J78" s="9"/>
    </row>
    <row r="79" spans="1:10" s="8" customFormat="1" ht="12" x14ac:dyDescent="0.25">
      <c r="A79" s="16"/>
      <c r="B79" s="17">
        <v>0</v>
      </c>
      <c r="C79" s="17">
        <v>0</v>
      </c>
      <c r="D79" s="21">
        <v>77</v>
      </c>
      <c r="E79" s="21">
        <v>7</v>
      </c>
      <c r="F79" s="18" t="s">
        <v>196</v>
      </c>
      <c r="G79" s="20">
        <v>1</v>
      </c>
      <c r="I79" s="19" t="str">
        <f>CONCATENATE(CI_SUB_ESTACION!$L$1,D79,",",E79,",'",F79,"', ",G79,"")</f>
        <v>EXECUTE [dbo].[PG_CI_MOTIVO_ORDEN_TRABAJO] 0, 0, 77,7,'MESA 77', 1</v>
      </c>
      <c r="J79" s="9"/>
    </row>
    <row r="80" spans="1:10" s="8" customFormat="1" ht="12" x14ac:dyDescent="0.25">
      <c r="A80" s="16"/>
      <c r="B80" s="17">
        <v>0</v>
      </c>
      <c r="C80" s="17">
        <v>0</v>
      </c>
      <c r="D80" s="21">
        <v>78</v>
      </c>
      <c r="E80" s="21">
        <v>7</v>
      </c>
      <c r="F80" s="18" t="s">
        <v>197</v>
      </c>
      <c r="G80" s="20">
        <v>1</v>
      </c>
      <c r="I80" s="19" t="str">
        <f>CONCATENATE(CI_SUB_ESTACION!$L$1,D80,",",E80,",'",F80,"', ",G80,"")</f>
        <v>EXECUTE [dbo].[PG_CI_MOTIVO_ORDEN_TRABAJO] 0, 0, 78,7,'MESA 78', 1</v>
      </c>
      <c r="J80" s="9"/>
    </row>
    <row r="81" spans="1:10" s="8" customFormat="1" ht="12" x14ac:dyDescent="0.25">
      <c r="A81" s="16"/>
      <c r="B81" s="17">
        <v>0</v>
      </c>
      <c r="C81" s="17">
        <v>0</v>
      </c>
      <c r="D81" s="21">
        <v>79</v>
      </c>
      <c r="E81" s="21">
        <v>7</v>
      </c>
      <c r="F81" s="18" t="s">
        <v>198</v>
      </c>
      <c r="G81" s="20">
        <v>1</v>
      </c>
      <c r="I81" s="19" t="str">
        <f>CONCATENATE(CI_SUB_ESTACION!$L$1,D81,",",E81,",'",F81,"', ",G81,"")</f>
        <v>EXECUTE [dbo].[PG_CI_MOTIVO_ORDEN_TRABAJO] 0, 0, 79,7,'MESA 79', 1</v>
      </c>
      <c r="J81" s="9"/>
    </row>
    <row r="82" spans="1:10" s="8" customFormat="1" ht="12" x14ac:dyDescent="0.25">
      <c r="A82" s="16"/>
      <c r="B82" s="17">
        <v>0</v>
      </c>
      <c r="C82" s="17">
        <v>0</v>
      </c>
      <c r="D82" s="21">
        <v>80</v>
      </c>
      <c r="E82" s="21">
        <v>7</v>
      </c>
      <c r="F82" s="18" t="s">
        <v>199</v>
      </c>
      <c r="G82" s="20">
        <v>1</v>
      </c>
      <c r="I82" s="19" t="str">
        <f>CONCATENATE(CI_SUB_ESTACION!$L$1,D82,",",E82,",'",F82,"', ",G82,"")</f>
        <v>EXECUTE [dbo].[PG_CI_MOTIVO_ORDEN_TRABAJO] 0, 0, 80,7,'MESA 80', 1</v>
      </c>
      <c r="J82" s="9"/>
    </row>
    <row r="83" spans="1:10" s="8" customFormat="1" ht="12" x14ac:dyDescent="0.25">
      <c r="A83" s="16"/>
      <c r="B83" s="17">
        <v>0</v>
      </c>
      <c r="C83" s="17">
        <v>0</v>
      </c>
      <c r="D83" s="21">
        <v>81</v>
      </c>
      <c r="E83" s="21">
        <v>7</v>
      </c>
      <c r="F83" s="18" t="s">
        <v>200</v>
      </c>
      <c r="G83" s="20">
        <v>1</v>
      </c>
      <c r="I83" s="19" t="str">
        <f>CONCATENATE(CI_SUB_ESTACION!$L$1,D83,",",E83,",'",F83,"', ",G83,"")</f>
        <v>EXECUTE [dbo].[PG_CI_MOTIVO_ORDEN_TRABAJO] 0, 0, 81,7,'MESA 81', 1</v>
      </c>
      <c r="J83" s="9"/>
    </row>
    <row r="84" spans="1:10" s="8" customFormat="1" ht="12" x14ac:dyDescent="0.25">
      <c r="A84" s="16"/>
      <c r="B84" s="17">
        <v>0</v>
      </c>
      <c r="C84" s="17">
        <v>0</v>
      </c>
      <c r="D84" s="21">
        <v>82</v>
      </c>
      <c r="E84" s="21">
        <v>7</v>
      </c>
      <c r="F84" s="18" t="s">
        <v>201</v>
      </c>
      <c r="G84" s="20">
        <v>1</v>
      </c>
      <c r="I84" s="19" t="str">
        <f>CONCATENATE(CI_SUB_ESTACION!$L$1,D84,",",E84,",'",F84,"', ",G84,"")</f>
        <v>EXECUTE [dbo].[PG_CI_MOTIVO_ORDEN_TRABAJO] 0, 0, 82,7,'MESA 82', 1</v>
      </c>
      <c r="J84" s="9"/>
    </row>
    <row r="85" spans="1:10" s="8" customFormat="1" ht="12" x14ac:dyDescent="0.25">
      <c r="A85" s="16"/>
      <c r="B85" s="17">
        <v>0</v>
      </c>
      <c r="C85" s="17">
        <v>0</v>
      </c>
      <c r="D85" s="21">
        <v>83</v>
      </c>
      <c r="E85" s="21">
        <v>7</v>
      </c>
      <c r="F85" s="18" t="s">
        <v>202</v>
      </c>
      <c r="G85" s="20">
        <v>1</v>
      </c>
      <c r="I85" s="19" t="str">
        <f>CONCATENATE(CI_SUB_ESTACION!$L$1,D85,",",E85,",'",F85,"', ",G85,"")</f>
        <v>EXECUTE [dbo].[PG_CI_MOTIVO_ORDEN_TRABAJO] 0, 0, 83,7,'MESA 83', 1</v>
      </c>
      <c r="J85" s="9"/>
    </row>
    <row r="86" spans="1:10" s="8" customFormat="1" ht="12" x14ac:dyDescent="0.25">
      <c r="A86" s="16"/>
      <c r="B86" s="17">
        <v>0</v>
      </c>
      <c r="C86" s="17">
        <v>0</v>
      </c>
      <c r="D86" s="21">
        <v>84</v>
      </c>
      <c r="E86" s="21">
        <v>7</v>
      </c>
      <c r="F86" s="18" t="s">
        <v>203</v>
      </c>
      <c r="G86" s="20">
        <v>1</v>
      </c>
      <c r="I86" s="19" t="str">
        <f>CONCATENATE(CI_SUB_ESTACION!$L$1,D86,",",E86,",'",F86,"', ",G86,"")</f>
        <v>EXECUTE [dbo].[PG_CI_MOTIVO_ORDEN_TRABAJO] 0, 0, 84,7,'MESA 84', 1</v>
      </c>
      <c r="J86" s="9"/>
    </row>
    <row r="87" spans="1:10" s="8" customFormat="1" ht="12" x14ac:dyDescent="0.25">
      <c r="A87" s="16"/>
      <c r="B87" s="17">
        <v>0</v>
      </c>
      <c r="C87" s="17">
        <v>0</v>
      </c>
      <c r="D87" s="21">
        <v>85</v>
      </c>
      <c r="E87" s="21">
        <v>8</v>
      </c>
      <c r="F87" s="18" t="s">
        <v>204</v>
      </c>
      <c r="G87" s="20">
        <v>1</v>
      </c>
      <c r="I87" s="19" t="str">
        <f>CONCATENATE(CI_SUB_ESTACION!$L$1,D87,",",E87,",'",F87,"', ",G87,"")</f>
        <v>EXECUTE [dbo].[PG_CI_MOTIVO_ORDEN_TRABAJO] 0, 0, 85,8,'MESA 85', 1</v>
      </c>
      <c r="J87" s="9"/>
    </row>
    <row r="88" spans="1:10" s="8" customFormat="1" ht="12" x14ac:dyDescent="0.25">
      <c r="A88" s="16"/>
      <c r="B88" s="17"/>
      <c r="C88" s="17"/>
      <c r="D88" s="21"/>
      <c r="E88" s="21"/>
      <c r="F88" s="18"/>
      <c r="G88" s="20"/>
      <c r="I88" s="19"/>
      <c r="J88" s="9"/>
    </row>
    <row r="89" spans="1:10" s="8" customFormat="1" ht="12" x14ac:dyDescent="0.25">
      <c r="A89" s="16"/>
      <c r="B89" s="17"/>
      <c r="C89" s="17"/>
      <c r="D89" s="21"/>
      <c r="E89" s="21"/>
      <c r="F89" s="18"/>
      <c r="G89" s="20"/>
      <c r="I89" s="19"/>
      <c r="J89" s="9"/>
    </row>
    <row r="90" spans="1:10" s="8" customFormat="1" ht="12" x14ac:dyDescent="0.25">
      <c r="A90" s="16"/>
      <c r="B90" s="17"/>
      <c r="C90" s="17"/>
      <c r="D90" s="21"/>
      <c r="E90" s="21"/>
      <c r="F90" s="18"/>
      <c r="G90" s="20"/>
      <c r="I90" s="19"/>
      <c r="J90" s="9"/>
    </row>
    <row r="91" spans="1:10" s="8" customFormat="1" ht="12" x14ac:dyDescent="0.25">
      <c r="A91" s="16"/>
      <c r="B91" s="17"/>
      <c r="C91" s="17"/>
      <c r="D91" s="21"/>
      <c r="E91" s="21"/>
      <c r="F91" s="18"/>
      <c r="G91" s="20"/>
      <c r="I91" s="19"/>
      <c r="J91" s="9"/>
    </row>
    <row r="92" spans="1:10" s="8" customFormat="1" ht="12" x14ac:dyDescent="0.25">
      <c r="A92" s="16"/>
      <c r="B92" s="17"/>
      <c r="C92" s="17"/>
      <c r="D92" s="21"/>
      <c r="E92" s="21"/>
      <c r="F92" s="18"/>
      <c r="G92" s="20"/>
      <c r="I92" s="19"/>
      <c r="J92" s="9"/>
    </row>
    <row r="93" spans="1:10" s="8" customFormat="1" ht="12" x14ac:dyDescent="0.25">
      <c r="A93" s="16"/>
      <c r="B93" s="17"/>
      <c r="C93" s="17"/>
      <c r="D93" s="21"/>
      <c r="E93" s="21"/>
      <c r="F93" s="18"/>
      <c r="G93" s="20"/>
      <c r="I93" s="19"/>
      <c r="J93" s="9"/>
    </row>
    <row r="94" spans="1:10" s="8" customFormat="1" ht="12" x14ac:dyDescent="0.25">
      <c r="A94" s="16"/>
      <c r="B94" s="17"/>
      <c r="C94" s="17"/>
      <c r="D94" s="21"/>
      <c r="E94" s="21"/>
      <c r="F94" s="18"/>
      <c r="G94" s="20"/>
      <c r="I94" s="19"/>
      <c r="J94" s="9"/>
    </row>
    <row r="95" spans="1:10" s="8" customFormat="1" ht="12" x14ac:dyDescent="0.25">
      <c r="A95" s="16"/>
      <c r="B95" s="17"/>
      <c r="C95" s="17"/>
      <c r="D95" s="21"/>
      <c r="E95" s="21"/>
      <c r="F95" s="18"/>
      <c r="G95" s="20"/>
      <c r="I95" s="19"/>
      <c r="J95" s="9"/>
    </row>
    <row r="96" spans="1:10" s="8" customFormat="1" ht="12" x14ac:dyDescent="0.25">
      <c r="A96" s="16"/>
      <c r="B96" s="17"/>
      <c r="C96" s="17"/>
      <c r="D96" s="21"/>
      <c r="E96" s="21"/>
      <c r="F96" s="18"/>
      <c r="G96" s="20"/>
      <c r="I96" s="19"/>
      <c r="J96" s="9"/>
    </row>
    <row r="97" spans="1:10" s="8" customFormat="1" ht="12" x14ac:dyDescent="0.25">
      <c r="A97" s="16"/>
      <c r="B97" s="17"/>
      <c r="C97" s="17"/>
      <c r="D97" s="21"/>
      <c r="E97" s="21"/>
      <c r="F97" s="18"/>
      <c r="G97" s="20"/>
      <c r="I97" s="19"/>
      <c r="J97" s="9"/>
    </row>
    <row r="98" spans="1:10" s="8" customFormat="1" ht="12" x14ac:dyDescent="0.25">
      <c r="A98" s="16"/>
      <c r="B98" s="17"/>
      <c r="C98" s="17"/>
      <c r="D98" s="21"/>
      <c r="E98" s="21"/>
      <c r="F98" s="18"/>
      <c r="G98" s="20"/>
      <c r="I98" s="19"/>
      <c r="J98" s="9"/>
    </row>
    <row r="99" spans="1:10" s="8" customFormat="1" ht="12" x14ac:dyDescent="0.25">
      <c r="A99" s="16"/>
      <c r="B99" s="17"/>
      <c r="C99" s="17"/>
      <c r="D99" s="21"/>
      <c r="E99" s="21"/>
      <c r="F99" s="18"/>
      <c r="G99" s="20"/>
      <c r="I99" s="19"/>
      <c r="J99" s="9"/>
    </row>
    <row r="100" spans="1:10" s="8" customFormat="1" ht="12" x14ac:dyDescent="0.25">
      <c r="A100" s="16"/>
      <c r="B100" s="17"/>
      <c r="C100" s="17"/>
      <c r="D100" s="21"/>
      <c r="E100" s="21"/>
      <c r="F100" s="18"/>
      <c r="G100" s="20"/>
      <c r="I100" s="19"/>
      <c r="J100" s="9"/>
    </row>
    <row r="101" spans="1:10" s="8" customFormat="1" ht="12" x14ac:dyDescent="0.25">
      <c r="A101" s="16"/>
      <c r="B101" s="17"/>
      <c r="C101" s="17"/>
      <c r="D101" s="21"/>
      <c r="E101" s="21"/>
      <c r="F101" s="18"/>
      <c r="G101" s="20"/>
      <c r="I101" s="19"/>
      <c r="J101" s="9"/>
    </row>
    <row r="102" spans="1:10" s="8" customFormat="1" ht="12" x14ac:dyDescent="0.25">
      <c r="A102" s="16"/>
      <c r="B102" s="17"/>
      <c r="C102" s="17"/>
      <c r="D102" s="21"/>
      <c r="E102" s="21"/>
      <c r="F102" s="18"/>
      <c r="G102" s="20"/>
      <c r="I102" s="19"/>
      <c r="J102" s="9"/>
    </row>
    <row r="103" spans="1:10" s="8" customFormat="1" ht="12" x14ac:dyDescent="0.25">
      <c r="A103" s="16"/>
      <c r="B103" s="17"/>
      <c r="C103" s="17"/>
      <c r="D103" s="21"/>
      <c r="E103" s="21"/>
      <c r="F103" s="18"/>
      <c r="G103" s="20"/>
      <c r="I103" s="19"/>
      <c r="J103" s="9"/>
    </row>
    <row r="104" spans="1:10" s="8" customFormat="1" ht="12" x14ac:dyDescent="0.25">
      <c r="A104" s="16"/>
      <c r="B104" s="17"/>
      <c r="C104" s="17"/>
      <c r="D104" s="21"/>
      <c r="E104" s="21"/>
      <c r="F104" s="18"/>
      <c r="G104" s="20"/>
      <c r="I104" s="19"/>
      <c r="J104" s="9"/>
    </row>
    <row r="105" spans="1:10" s="8" customFormat="1" ht="12" x14ac:dyDescent="0.25">
      <c r="A105" s="16"/>
      <c r="B105" s="17"/>
      <c r="C105" s="17"/>
      <c r="D105" s="21"/>
      <c r="E105" s="21"/>
      <c r="F105" s="18"/>
      <c r="G105" s="20"/>
      <c r="I105" s="19"/>
      <c r="J105" s="9"/>
    </row>
    <row r="106" spans="1:10" s="8" customFormat="1" ht="12" x14ac:dyDescent="0.25">
      <c r="A106" s="16"/>
      <c r="B106" s="17"/>
      <c r="C106" s="17"/>
      <c r="D106" s="21"/>
      <c r="E106" s="21"/>
      <c r="G106" s="20"/>
      <c r="I106" s="19"/>
      <c r="J106" s="9"/>
    </row>
    <row r="107" spans="1:10" s="8" customFormat="1" ht="12" x14ac:dyDescent="0.25">
      <c r="A107" s="16"/>
      <c r="B107" s="17"/>
      <c r="C107" s="17"/>
      <c r="D107" s="21"/>
      <c r="E107" s="21"/>
      <c r="G107" s="20"/>
      <c r="I107" s="19"/>
      <c r="J107" s="9"/>
    </row>
    <row r="108" spans="1:10" s="8" customFormat="1" ht="12" x14ac:dyDescent="0.25">
      <c r="A108" s="16"/>
      <c r="B108" s="17"/>
      <c r="C108" s="17"/>
      <c r="D108" s="21"/>
      <c r="E108" s="21"/>
      <c r="G108" s="20"/>
      <c r="I108" s="19"/>
      <c r="J108" s="9"/>
    </row>
    <row r="109" spans="1:10" s="8" customFormat="1" ht="12" x14ac:dyDescent="0.25">
      <c r="A109" s="16"/>
      <c r="B109" s="17"/>
      <c r="C109" s="17"/>
      <c r="D109" s="21"/>
      <c r="E109" s="21"/>
      <c r="G109" s="20"/>
      <c r="I109" s="19"/>
      <c r="J109" s="9"/>
    </row>
    <row r="110" spans="1:10" s="8" customFormat="1" ht="12" x14ac:dyDescent="0.25">
      <c r="A110" s="16"/>
      <c r="B110" s="17"/>
      <c r="C110" s="17"/>
      <c r="D110" s="21"/>
      <c r="E110" s="21"/>
      <c r="G110" s="20"/>
      <c r="I110" s="19"/>
      <c r="J110" s="9"/>
    </row>
    <row r="111" spans="1:10" s="8" customFormat="1" ht="12" x14ac:dyDescent="0.25">
      <c r="A111" s="16"/>
      <c r="B111" s="17"/>
      <c r="C111" s="17"/>
      <c r="D111" s="21"/>
      <c r="E111" s="21"/>
      <c r="G111" s="20"/>
      <c r="I111" s="19"/>
      <c r="J111" s="9"/>
    </row>
    <row r="112" spans="1:10" s="8" customFormat="1" ht="12" x14ac:dyDescent="0.25">
      <c r="A112" s="16"/>
      <c r="B112" s="17"/>
      <c r="C112" s="17"/>
      <c r="D112" s="21"/>
      <c r="E112" s="21"/>
      <c r="G112" s="20"/>
      <c r="I112" s="19"/>
      <c r="J112" s="9"/>
    </row>
    <row r="113" spans="1:10" s="8" customFormat="1" ht="12" x14ac:dyDescent="0.25">
      <c r="A113" s="16"/>
      <c r="B113" s="17"/>
      <c r="C113" s="17"/>
      <c r="D113" s="21"/>
      <c r="E113" s="21"/>
      <c r="G113" s="20"/>
      <c r="I113" s="19"/>
      <c r="J113" s="9"/>
    </row>
    <row r="114" spans="1:10" s="8" customFormat="1" ht="12" x14ac:dyDescent="0.25">
      <c r="A114" s="16"/>
      <c r="B114" s="17"/>
      <c r="C114" s="17"/>
      <c r="D114" s="21"/>
      <c r="E114" s="21"/>
      <c r="G114" s="20"/>
      <c r="I114" s="19"/>
      <c r="J114" s="9"/>
    </row>
    <row r="115" spans="1:10" s="8" customFormat="1" ht="12" x14ac:dyDescent="0.25">
      <c r="A115" s="16"/>
      <c r="B115" s="17"/>
      <c r="C115" s="17"/>
      <c r="D115" s="21"/>
      <c r="E115" s="21"/>
      <c r="F115" s="18"/>
      <c r="G115" s="20"/>
      <c r="I115" s="19"/>
      <c r="J115" s="9"/>
    </row>
    <row r="116" spans="1:10" s="8" customFormat="1" ht="12" x14ac:dyDescent="0.25">
      <c r="A116" s="16"/>
      <c r="B116" s="17"/>
      <c r="C116" s="17"/>
      <c r="D116" s="21"/>
      <c r="E116" s="21"/>
      <c r="F116" s="18"/>
      <c r="G116" s="20"/>
      <c r="I116" s="19"/>
      <c r="J116" s="9"/>
    </row>
    <row r="117" spans="1:10" s="8" customFormat="1" ht="12" x14ac:dyDescent="0.25">
      <c r="A117" s="16"/>
      <c r="B117" s="17"/>
      <c r="C117" s="17"/>
      <c r="D117" s="21"/>
      <c r="E117" s="21"/>
      <c r="F117" s="18"/>
      <c r="G117" s="20"/>
      <c r="I117" s="19"/>
      <c r="J117" s="9"/>
    </row>
    <row r="118" spans="1:10" s="8" customFormat="1" ht="12" x14ac:dyDescent="0.25">
      <c r="A118" s="16"/>
      <c r="B118" s="17"/>
      <c r="C118" s="17"/>
      <c r="D118" s="21"/>
      <c r="E118" s="21"/>
      <c r="F118" s="18"/>
      <c r="G118" s="20"/>
      <c r="I118" s="19"/>
      <c r="J118" s="9"/>
    </row>
    <row r="119" spans="1:10" s="8" customFormat="1" ht="12" x14ac:dyDescent="0.25">
      <c r="A119" s="16"/>
      <c r="B119" s="17"/>
      <c r="C119" s="17"/>
      <c r="D119" s="21"/>
      <c r="E119" s="21"/>
      <c r="F119" s="18"/>
      <c r="G119" s="20"/>
      <c r="I119" s="19"/>
      <c r="J119" s="9"/>
    </row>
    <row r="120" spans="1:10" s="8" customFormat="1" ht="12" x14ac:dyDescent="0.25">
      <c r="A120" s="16"/>
      <c r="B120" s="17"/>
      <c r="C120" s="17"/>
      <c r="D120" s="21"/>
      <c r="E120" s="21"/>
      <c r="F120" s="18"/>
      <c r="G120" s="20"/>
      <c r="I120" s="19"/>
      <c r="J120" s="9"/>
    </row>
    <row r="121" spans="1:10" s="8" customFormat="1" ht="12" x14ac:dyDescent="0.25">
      <c r="A121" s="16"/>
      <c r="B121" s="17"/>
      <c r="C121" s="17"/>
      <c r="D121" s="21"/>
      <c r="E121" s="21"/>
      <c r="F121" s="18"/>
      <c r="G121" s="20"/>
      <c r="I121" s="19"/>
      <c r="J121" s="9"/>
    </row>
    <row r="122" spans="1:10" s="8" customFormat="1" ht="12" x14ac:dyDescent="0.25">
      <c r="A122" s="16"/>
      <c r="B122" s="17"/>
      <c r="C122" s="17"/>
      <c r="D122" s="21"/>
      <c r="E122" s="21"/>
      <c r="F122" s="18"/>
      <c r="G122" s="20"/>
      <c r="I122" s="19"/>
      <c r="J122" s="9"/>
    </row>
    <row r="123" spans="1:10" s="8" customFormat="1" ht="12" x14ac:dyDescent="0.25">
      <c r="A123" s="16"/>
      <c r="B123" s="17"/>
      <c r="C123" s="17"/>
      <c r="D123" s="21"/>
      <c r="E123" s="21"/>
      <c r="F123" s="18"/>
      <c r="G123" s="20"/>
      <c r="I123" s="19"/>
      <c r="J123" s="9"/>
    </row>
    <row r="124" spans="1:10" s="8" customFormat="1" ht="12" x14ac:dyDescent="0.25">
      <c r="A124" s="16"/>
      <c r="B124" s="17"/>
      <c r="C124" s="17"/>
      <c r="D124" s="21"/>
      <c r="E124" s="21"/>
      <c r="F124" s="18"/>
      <c r="G124" s="20"/>
      <c r="I124" s="19"/>
      <c r="J124" s="9"/>
    </row>
    <row r="125" spans="1:10" s="8" customFormat="1" ht="12" x14ac:dyDescent="0.25">
      <c r="A125" s="16"/>
      <c r="B125" s="17"/>
      <c r="C125" s="17"/>
      <c r="D125" s="21"/>
      <c r="E125" s="21"/>
      <c r="F125" s="18"/>
      <c r="G125" s="20"/>
      <c r="I125" s="19"/>
      <c r="J125" s="9"/>
    </row>
    <row r="126" spans="1:10" s="8" customFormat="1" ht="12" x14ac:dyDescent="0.25">
      <c r="A126" s="16"/>
      <c r="B126" s="17"/>
      <c r="C126" s="17"/>
      <c r="D126" s="21"/>
      <c r="E126" s="21"/>
      <c r="F126" s="18"/>
      <c r="G126" s="20"/>
      <c r="I126" s="19"/>
      <c r="J126" s="9"/>
    </row>
    <row r="127" spans="1:10" s="8" customFormat="1" ht="12" x14ac:dyDescent="0.25">
      <c r="A127" s="16"/>
      <c r="B127" s="17"/>
      <c r="C127" s="17"/>
      <c r="D127" s="21"/>
      <c r="E127" s="21"/>
      <c r="F127" s="18"/>
      <c r="G127" s="20"/>
      <c r="I127" s="19"/>
      <c r="J127" s="9"/>
    </row>
    <row r="128" spans="1:10" s="8" customFormat="1" ht="12" x14ac:dyDescent="0.25">
      <c r="A128" s="16"/>
      <c r="B128" s="17"/>
      <c r="C128" s="17"/>
      <c r="D128" s="21"/>
      <c r="E128" s="21"/>
      <c r="F128" s="18"/>
      <c r="G128" s="20"/>
      <c r="I128" s="19"/>
      <c r="J128" s="9"/>
    </row>
    <row r="129" spans="1:10" s="8" customFormat="1" ht="12" x14ac:dyDescent="0.25">
      <c r="A129" s="16"/>
      <c r="B129" s="17"/>
      <c r="C129" s="17"/>
      <c r="D129" s="21"/>
      <c r="E129" s="21"/>
      <c r="F129" s="18"/>
      <c r="G129" s="20"/>
      <c r="I129" s="19"/>
      <c r="J129" s="9"/>
    </row>
    <row r="130" spans="1:10" s="8" customFormat="1" ht="12" x14ac:dyDescent="0.25">
      <c r="A130" s="16"/>
      <c r="B130" s="17"/>
      <c r="C130" s="17"/>
      <c r="D130" s="21"/>
      <c r="E130" s="21"/>
      <c r="F130" s="18"/>
      <c r="G130" s="20"/>
      <c r="I130" s="19"/>
      <c r="J130" s="9"/>
    </row>
    <row r="131" spans="1:10" s="8" customFormat="1" ht="12" x14ac:dyDescent="0.25">
      <c r="A131" s="16"/>
      <c r="B131" s="17"/>
      <c r="C131" s="17"/>
      <c r="D131" s="21"/>
      <c r="E131" s="21"/>
      <c r="F131" s="18"/>
      <c r="G131" s="20"/>
      <c r="I131" s="19"/>
      <c r="J131" s="9"/>
    </row>
    <row r="132" spans="1:10" s="8" customFormat="1" ht="12" x14ac:dyDescent="0.25">
      <c r="A132" s="16"/>
      <c r="B132" s="17"/>
      <c r="C132" s="17"/>
      <c r="D132" s="21"/>
      <c r="E132" s="21"/>
      <c r="F132" s="18"/>
      <c r="G132" s="20"/>
      <c r="I132" s="19"/>
      <c r="J132" s="9"/>
    </row>
    <row r="133" spans="1:10" s="8" customFormat="1" ht="12" x14ac:dyDescent="0.25">
      <c r="A133" s="16"/>
      <c r="B133" s="17"/>
      <c r="C133" s="17"/>
      <c r="D133" s="21"/>
      <c r="E133" s="21"/>
      <c r="F133" s="18"/>
      <c r="G133" s="20"/>
      <c r="I133" s="19"/>
      <c r="J133" s="9"/>
    </row>
    <row r="134" spans="1:10" s="8" customFormat="1" ht="12" x14ac:dyDescent="0.25">
      <c r="A134" s="16"/>
      <c r="B134" s="17"/>
      <c r="C134" s="17"/>
      <c r="D134" s="21"/>
      <c r="E134" s="21"/>
      <c r="F134" s="18"/>
      <c r="G134" s="20"/>
      <c r="I134" s="19"/>
      <c r="J134" s="9"/>
    </row>
    <row r="135" spans="1:10" s="8" customFormat="1" ht="12" x14ac:dyDescent="0.25">
      <c r="A135" s="16"/>
      <c r="B135" s="17"/>
      <c r="C135" s="17"/>
      <c r="D135" s="21"/>
      <c r="E135" s="21"/>
      <c r="F135" s="18"/>
      <c r="G135" s="20"/>
      <c r="I135" s="19"/>
      <c r="J135" s="9"/>
    </row>
    <row r="136" spans="1:10" s="8" customFormat="1" ht="12" x14ac:dyDescent="0.25">
      <c r="A136" s="16"/>
      <c r="B136" s="17"/>
      <c r="C136" s="17"/>
      <c r="D136" s="21"/>
      <c r="E136" s="21"/>
      <c r="F136" s="18"/>
      <c r="G136" s="20"/>
      <c r="I136" s="19"/>
      <c r="J136" s="9"/>
    </row>
    <row r="137" spans="1:10" s="8" customFormat="1" ht="12" x14ac:dyDescent="0.25">
      <c r="A137" s="16"/>
      <c r="B137" s="17"/>
      <c r="C137" s="17"/>
      <c r="D137" s="21"/>
      <c r="E137" s="21"/>
      <c r="F137" s="18"/>
      <c r="G137" s="20"/>
      <c r="I137" s="19"/>
      <c r="J137" s="9"/>
    </row>
    <row r="138" spans="1:10" s="8" customFormat="1" ht="12" x14ac:dyDescent="0.25">
      <c r="A138" s="16"/>
      <c r="B138" s="17"/>
      <c r="C138" s="17"/>
      <c r="D138" s="21"/>
      <c r="E138" s="21"/>
      <c r="F138" s="18"/>
      <c r="G138" s="20"/>
      <c r="I138" s="19"/>
      <c r="J138" s="9"/>
    </row>
    <row r="139" spans="1:10" s="8" customFormat="1" ht="12" x14ac:dyDescent="0.25">
      <c r="A139" s="16"/>
      <c r="B139" s="17"/>
      <c r="C139" s="17"/>
      <c r="D139" s="21"/>
      <c r="E139" s="21"/>
      <c r="F139" s="18"/>
      <c r="G139" s="20"/>
      <c r="I139" s="19"/>
      <c r="J139" s="9"/>
    </row>
    <row r="140" spans="1:10" s="8" customFormat="1" ht="12" x14ac:dyDescent="0.25">
      <c r="A140" s="16"/>
      <c r="B140" s="17"/>
      <c r="C140" s="17"/>
      <c r="D140" s="21"/>
      <c r="E140" s="21"/>
      <c r="F140" s="18"/>
      <c r="G140" s="20"/>
      <c r="I140" s="19"/>
      <c r="J140" s="9"/>
    </row>
    <row r="141" spans="1:10" s="8" customFormat="1" ht="12" x14ac:dyDescent="0.25">
      <c r="A141" s="16"/>
      <c r="B141" s="17"/>
      <c r="C141" s="17"/>
      <c r="D141" s="21"/>
      <c r="E141" s="21"/>
      <c r="F141" s="18"/>
      <c r="G141" s="20"/>
      <c r="I141" s="19"/>
      <c r="J141" s="9"/>
    </row>
    <row r="142" spans="1:10" s="8" customFormat="1" ht="12" x14ac:dyDescent="0.25">
      <c r="A142" s="16"/>
      <c r="B142" s="17"/>
      <c r="C142" s="17"/>
      <c r="D142" s="21"/>
      <c r="E142" s="21"/>
      <c r="F142" s="18"/>
      <c r="G142" s="20"/>
      <c r="I142" s="19"/>
      <c r="J142" s="9"/>
    </row>
    <row r="143" spans="1:10" s="8" customFormat="1" ht="12" x14ac:dyDescent="0.25">
      <c r="A143" s="16"/>
      <c r="B143" s="17"/>
      <c r="C143" s="17"/>
      <c r="D143" s="21"/>
      <c r="E143" s="21"/>
      <c r="F143" s="18"/>
      <c r="G143" s="20"/>
      <c r="I143" s="19"/>
      <c r="J143" s="9"/>
    </row>
    <row r="144" spans="1:10" s="8" customFormat="1" ht="12" x14ac:dyDescent="0.25">
      <c r="A144" s="16"/>
      <c r="B144" s="17"/>
      <c r="C144" s="17"/>
      <c r="D144" s="21"/>
      <c r="E144" s="21"/>
      <c r="F144" s="18"/>
      <c r="G144" s="20"/>
      <c r="I144" s="19"/>
      <c r="J144" s="9"/>
    </row>
    <row r="145" spans="1:10" s="8" customFormat="1" ht="12" x14ac:dyDescent="0.25">
      <c r="A145" s="16"/>
      <c r="B145" s="17"/>
      <c r="C145" s="17"/>
      <c r="D145" s="21"/>
      <c r="E145" s="21"/>
      <c r="F145" s="18"/>
      <c r="G145" s="20"/>
      <c r="I145" s="19"/>
      <c r="J145" s="9"/>
    </row>
    <row r="146" spans="1:10" s="8" customFormat="1" ht="12" x14ac:dyDescent="0.25">
      <c r="A146" s="16"/>
      <c r="B146" s="17"/>
      <c r="C146" s="17"/>
      <c r="D146" s="21"/>
      <c r="E146" s="21"/>
      <c r="F146" s="18"/>
      <c r="G146" s="20"/>
      <c r="I146" s="19"/>
      <c r="J146" s="9"/>
    </row>
    <row r="147" spans="1:10" s="8" customFormat="1" ht="12" x14ac:dyDescent="0.25">
      <c r="A147" s="16"/>
      <c r="B147" s="17"/>
      <c r="C147" s="17"/>
      <c r="D147" s="21"/>
      <c r="E147" s="21"/>
      <c r="F147" s="18"/>
      <c r="G147" s="20"/>
      <c r="I147" s="19"/>
      <c r="J147" s="9"/>
    </row>
    <row r="148" spans="1:10" s="8" customFormat="1" ht="12" x14ac:dyDescent="0.25">
      <c r="A148" s="16"/>
      <c r="B148" s="17"/>
      <c r="C148" s="17"/>
      <c r="D148" s="21"/>
      <c r="E148" s="21"/>
      <c r="F148" s="18"/>
      <c r="G148" s="20"/>
      <c r="I148" s="19"/>
      <c r="J148" s="9"/>
    </row>
    <row r="149" spans="1:10" s="8" customFormat="1" ht="12" x14ac:dyDescent="0.25">
      <c r="A149" s="16"/>
      <c r="B149" s="17"/>
      <c r="C149" s="17"/>
      <c r="D149" s="21"/>
      <c r="E149" s="21"/>
      <c r="F149" s="18"/>
      <c r="G149" s="20"/>
      <c r="I149" s="19"/>
      <c r="J149" s="9"/>
    </row>
    <row r="150" spans="1:10" s="8" customFormat="1" ht="12" x14ac:dyDescent="0.25">
      <c r="A150" s="16"/>
      <c r="B150" s="17"/>
      <c r="C150" s="17"/>
      <c r="D150" s="21"/>
      <c r="E150" s="21"/>
      <c r="F150" s="18"/>
      <c r="G150" s="20"/>
      <c r="I150" s="19"/>
      <c r="J150" s="9"/>
    </row>
    <row r="151" spans="1:10" s="8" customFormat="1" ht="12" x14ac:dyDescent="0.25">
      <c r="A151" s="16"/>
      <c r="B151" s="17"/>
      <c r="C151" s="17"/>
      <c r="D151" s="21"/>
      <c r="E151" s="21"/>
      <c r="F151" s="18"/>
      <c r="G151" s="20"/>
      <c r="I151" s="19"/>
      <c r="J151" s="9"/>
    </row>
    <row r="152" spans="1:10" s="8" customFormat="1" ht="12" x14ac:dyDescent="0.25">
      <c r="A152" s="16"/>
      <c r="B152" s="17"/>
      <c r="C152" s="17"/>
      <c r="D152" s="21"/>
      <c r="E152" s="21"/>
      <c r="F152" s="18"/>
      <c r="G152" s="20"/>
      <c r="I152" s="19"/>
      <c r="J152" s="9"/>
    </row>
    <row r="153" spans="1:10" s="8" customFormat="1" ht="12" x14ac:dyDescent="0.25">
      <c r="A153" s="16"/>
      <c r="B153" s="17"/>
      <c r="C153" s="17"/>
      <c r="D153" s="21"/>
      <c r="E153" s="21"/>
      <c r="F153" s="18"/>
      <c r="G153" s="20"/>
      <c r="I153" s="19"/>
      <c r="J153" s="9"/>
    </row>
    <row r="154" spans="1:10" s="8" customFormat="1" ht="12" x14ac:dyDescent="0.25">
      <c r="A154" s="16"/>
      <c r="B154" s="17"/>
      <c r="C154" s="17"/>
      <c r="D154" s="21"/>
      <c r="E154" s="21"/>
      <c r="F154" s="18"/>
      <c r="G154" s="20"/>
      <c r="I154" s="19"/>
      <c r="J154" s="9"/>
    </row>
    <row r="155" spans="1:10" s="8" customFormat="1" ht="12" x14ac:dyDescent="0.25">
      <c r="A155" s="16"/>
      <c r="B155" s="17"/>
      <c r="C155" s="17"/>
      <c r="D155" s="21"/>
      <c r="E155" s="21"/>
      <c r="F155" s="18"/>
      <c r="G155" s="20"/>
      <c r="I155" s="19"/>
      <c r="J155" s="9"/>
    </row>
    <row r="156" spans="1:10" s="8" customFormat="1" ht="12" x14ac:dyDescent="0.25">
      <c r="A156" s="16"/>
      <c r="B156" s="17"/>
      <c r="C156" s="17"/>
      <c r="D156" s="21"/>
      <c r="E156" s="21"/>
      <c r="F156" s="18"/>
      <c r="G156" s="20"/>
      <c r="I156" s="19"/>
      <c r="J156" s="9"/>
    </row>
    <row r="157" spans="1:10" s="8" customFormat="1" ht="12" x14ac:dyDescent="0.25">
      <c r="A157" s="16"/>
      <c r="B157" s="17"/>
      <c r="C157" s="17"/>
      <c r="D157" s="21"/>
      <c r="E157" s="21"/>
      <c r="F157" s="18"/>
      <c r="G157" s="20"/>
      <c r="I157" s="19"/>
      <c r="J157" s="9"/>
    </row>
    <row r="158" spans="1:10" s="8" customFormat="1" ht="12" x14ac:dyDescent="0.25">
      <c r="A158" s="16"/>
      <c r="B158" s="17"/>
      <c r="C158" s="17"/>
      <c r="D158" s="21"/>
      <c r="E158" s="21"/>
      <c r="F158" s="18"/>
      <c r="G158" s="20"/>
      <c r="I158" s="19"/>
      <c r="J158" s="9"/>
    </row>
    <row r="159" spans="1:10" s="8" customFormat="1" ht="12" x14ac:dyDescent="0.25">
      <c r="A159" s="16"/>
      <c r="B159" s="17"/>
      <c r="C159" s="17"/>
      <c r="D159" s="21"/>
      <c r="E159" s="21"/>
      <c r="F159" s="18"/>
      <c r="G159" s="20"/>
      <c r="I159" s="19"/>
      <c r="J159" s="9"/>
    </row>
    <row r="160" spans="1:10" s="8" customFormat="1" ht="12" x14ac:dyDescent="0.25">
      <c r="A160" s="16"/>
      <c r="B160" s="17"/>
      <c r="C160" s="17"/>
      <c r="D160" s="21"/>
      <c r="E160" s="21"/>
      <c r="F160" s="18"/>
      <c r="G160" s="20"/>
      <c r="I160" s="19"/>
      <c r="J160" s="9"/>
    </row>
    <row r="161" spans="1:10" s="8" customFormat="1" ht="12" x14ac:dyDescent="0.25">
      <c r="A161" s="16"/>
      <c r="B161" s="17"/>
      <c r="C161" s="17"/>
      <c r="D161" s="21"/>
      <c r="E161" s="21"/>
      <c r="F161" s="18"/>
      <c r="G161" s="20"/>
      <c r="I161" s="19"/>
      <c r="J161" s="9"/>
    </row>
    <row r="162" spans="1:10" s="8" customFormat="1" ht="12" x14ac:dyDescent="0.25">
      <c r="A162" s="16"/>
      <c r="B162" s="17"/>
      <c r="C162" s="17"/>
      <c r="D162" s="21"/>
      <c r="E162" s="21"/>
      <c r="F162" s="18"/>
      <c r="G162" s="20"/>
      <c r="I162" s="19"/>
      <c r="J162" s="9"/>
    </row>
    <row r="163" spans="1:10" s="8" customFormat="1" ht="12" x14ac:dyDescent="0.25">
      <c r="A163" s="16"/>
      <c r="B163" s="17"/>
      <c r="C163" s="17"/>
      <c r="D163" s="21"/>
      <c r="E163" s="21"/>
      <c r="F163" s="18"/>
      <c r="G163" s="20"/>
      <c r="I163" s="19"/>
      <c r="J163" s="9"/>
    </row>
    <row r="164" spans="1:10" s="8" customFormat="1" ht="12" x14ac:dyDescent="0.25">
      <c r="A164" s="16"/>
      <c r="B164" s="17"/>
      <c r="C164" s="17"/>
      <c r="D164" s="21"/>
      <c r="E164" s="21"/>
      <c r="F164" s="18"/>
      <c r="G164" s="20"/>
      <c r="I164" s="19"/>
      <c r="J164" s="9"/>
    </row>
    <row r="165" spans="1:10" s="8" customFormat="1" ht="12" x14ac:dyDescent="0.25">
      <c r="A165" s="16"/>
      <c r="B165" s="17"/>
      <c r="C165" s="17"/>
      <c r="D165" s="21"/>
      <c r="E165" s="21"/>
      <c r="F165" s="18"/>
      <c r="G165" s="20"/>
      <c r="I165" s="19"/>
      <c r="J165" s="9"/>
    </row>
    <row r="166" spans="1:10" s="8" customFormat="1" ht="12" x14ac:dyDescent="0.25">
      <c r="A166" s="16"/>
      <c r="B166" s="17"/>
      <c r="C166" s="17"/>
      <c r="D166" s="21"/>
      <c r="E166" s="21"/>
      <c r="F166" s="18"/>
      <c r="G166" s="20"/>
      <c r="I166" s="19"/>
      <c r="J166" s="9"/>
    </row>
    <row r="167" spans="1:10" s="8" customFormat="1" ht="12" x14ac:dyDescent="0.25">
      <c r="A167" s="16"/>
      <c r="B167" s="17"/>
      <c r="C167" s="17"/>
      <c r="D167" s="21"/>
      <c r="E167" s="21"/>
      <c r="F167" s="18"/>
      <c r="G167" s="20"/>
      <c r="I167" s="19"/>
      <c r="J167" s="9"/>
    </row>
    <row r="168" spans="1:10" s="8" customFormat="1" ht="12" x14ac:dyDescent="0.25">
      <c r="A168" s="16"/>
      <c r="B168" s="17"/>
      <c r="C168" s="17"/>
      <c r="D168" s="21"/>
      <c r="E168" s="21"/>
      <c r="F168" s="18"/>
      <c r="G168" s="20"/>
      <c r="I168" s="19"/>
      <c r="J168" s="9"/>
    </row>
    <row r="169" spans="1:10" s="8" customFormat="1" ht="12" x14ac:dyDescent="0.25">
      <c r="A169" s="16"/>
      <c r="B169" s="17"/>
      <c r="C169" s="17"/>
      <c r="D169" s="21"/>
      <c r="E169" s="21"/>
      <c r="F169" s="18"/>
      <c r="G169" s="20"/>
      <c r="I169" s="19"/>
      <c r="J169" s="9"/>
    </row>
    <row r="170" spans="1:10" s="8" customFormat="1" ht="12" x14ac:dyDescent="0.25">
      <c r="A170" s="16"/>
      <c r="B170" s="17"/>
      <c r="C170" s="17"/>
      <c r="D170" s="21"/>
      <c r="E170" s="21"/>
      <c r="F170" s="18"/>
      <c r="G170" s="20"/>
      <c r="I170" s="19"/>
      <c r="J170" s="9"/>
    </row>
    <row r="171" spans="1:10" s="8" customFormat="1" ht="12" x14ac:dyDescent="0.25">
      <c r="A171" s="16"/>
      <c r="B171" s="17"/>
      <c r="C171" s="17"/>
      <c r="D171" s="21"/>
      <c r="E171" s="21"/>
      <c r="F171" s="18"/>
      <c r="G171" s="20"/>
      <c r="I171" s="19"/>
      <c r="J171" s="9"/>
    </row>
    <row r="172" spans="1:10" s="8" customFormat="1" ht="12" x14ac:dyDescent="0.25">
      <c r="A172" s="16"/>
      <c r="B172" s="17"/>
      <c r="C172" s="17"/>
      <c r="D172" s="21"/>
      <c r="E172" s="21"/>
      <c r="F172" s="18"/>
      <c r="G172" s="20"/>
      <c r="I172" s="19"/>
      <c r="J172" s="9"/>
    </row>
    <row r="173" spans="1:10" s="8" customFormat="1" ht="12" x14ac:dyDescent="0.25">
      <c r="A173" s="16"/>
      <c r="B173" s="17"/>
      <c r="C173" s="17"/>
      <c r="D173" s="21"/>
      <c r="E173" s="21"/>
      <c r="F173" s="18"/>
      <c r="G173" s="20"/>
      <c r="I173" s="19"/>
      <c r="J173" s="9"/>
    </row>
    <row r="174" spans="1:10" s="8" customFormat="1" ht="12" x14ac:dyDescent="0.25">
      <c r="A174" s="16"/>
      <c r="B174" s="17"/>
      <c r="C174" s="17"/>
      <c r="D174" s="21"/>
      <c r="E174" s="21"/>
      <c r="F174" s="18"/>
      <c r="G174" s="20"/>
      <c r="I174" s="19"/>
      <c r="J174" s="9"/>
    </row>
    <row r="175" spans="1:10" s="8" customFormat="1" ht="12" x14ac:dyDescent="0.25">
      <c r="A175" s="16"/>
      <c r="B175" s="17"/>
      <c r="C175" s="17"/>
      <c r="D175" s="21"/>
      <c r="E175" s="21"/>
      <c r="F175" s="18"/>
      <c r="G175" s="20"/>
      <c r="I175" s="19"/>
      <c r="J175" s="9"/>
    </row>
    <row r="176" spans="1:10" s="8" customFormat="1" ht="12" x14ac:dyDescent="0.25">
      <c r="A176" s="16"/>
      <c r="B176" s="17"/>
      <c r="C176" s="17"/>
      <c r="D176" s="21"/>
      <c r="E176" s="21"/>
      <c r="F176" s="18"/>
      <c r="G176" s="20"/>
      <c r="I176" s="19"/>
      <c r="J176" s="9"/>
    </row>
    <row r="177" spans="1:10" s="8" customFormat="1" ht="12" x14ac:dyDescent="0.25">
      <c r="A177" s="16"/>
      <c r="B177" s="17"/>
      <c r="C177" s="17"/>
      <c r="D177" s="21"/>
      <c r="E177" s="21"/>
      <c r="F177" s="18"/>
      <c r="G177" s="20"/>
      <c r="I177" s="19"/>
      <c r="J177" s="9"/>
    </row>
    <row r="178" spans="1:10" s="8" customFormat="1" ht="12" x14ac:dyDescent="0.25">
      <c r="A178" s="16"/>
      <c r="B178" s="17"/>
      <c r="C178" s="17"/>
      <c r="D178" s="21"/>
      <c r="E178" s="21"/>
      <c r="F178" s="18"/>
      <c r="G178" s="20"/>
      <c r="I178" s="19"/>
      <c r="J178" s="9"/>
    </row>
    <row r="179" spans="1:10" s="8" customFormat="1" ht="12" x14ac:dyDescent="0.25">
      <c r="A179" s="16"/>
      <c r="B179" s="17"/>
      <c r="C179" s="17"/>
      <c r="D179" s="21"/>
      <c r="E179" s="21"/>
      <c r="F179" s="18"/>
      <c r="G179" s="20"/>
      <c r="I179" s="19"/>
      <c r="J179" s="9"/>
    </row>
    <row r="180" spans="1:10" s="8" customFormat="1" ht="12" x14ac:dyDescent="0.25">
      <c r="A180" s="16"/>
      <c r="B180" s="17"/>
      <c r="C180" s="17"/>
      <c r="D180" s="21"/>
      <c r="E180" s="21"/>
      <c r="F180" s="18"/>
      <c r="G180" s="20"/>
      <c r="I180" s="19"/>
      <c r="J180" s="9"/>
    </row>
    <row r="181" spans="1:10" s="8" customFormat="1" ht="12" x14ac:dyDescent="0.25">
      <c r="A181" s="16"/>
      <c r="B181" s="17"/>
      <c r="C181" s="17"/>
      <c r="D181" s="21"/>
      <c r="E181" s="21"/>
      <c r="F181" s="18"/>
      <c r="G181" s="20"/>
      <c r="I181" s="19"/>
      <c r="J181" s="9"/>
    </row>
    <row r="182" spans="1:10" s="8" customFormat="1" ht="12" x14ac:dyDescent="0.25">
      <c r="A182" s="16"/>
      <c r="B182" s="17"/>
      <c r="C182" s="17"/>
      <c r="D182" s="21"/>
      <c r="E182" s="21"/>
      <c r="F182" s="18"/>
      <c r="G182" s="20"/>
      <c r="I182" s="19"/>
      <c r="J182" s="9"/>
    </row>
    <row r="183" spans="1:10" s="8" customFormat="1" ht="12" x14ac:dyDescent="0.25">
      <c r="A183" s="16"/>
      <c r="B183" s="17"/>
      <c r="C183" s="17"/>
      <c r="D183" s="21"/>
      <c r="E183" s="21"/>
      <c r="F183" s="18"/>
      <c r="G183" s="20"/>
      <c r="I183" s="19"/>
      <c r="J183" s="9"/>
    </row>
    <row r="184" spans="1:10" s="8" customFormat="1" ht="12" x14ac:dyDescent="0.25">
      <c r="A184" s="16"/>
      <c r="B184" s="17"/>
      <c r="C184" s="17"/>
      <c r="D184" s="21"/>
      <c r="E184" s="21"/>
      <c r="F184" s="18"/>
      <c r="G184" s="20"/>
      <c r="I184" s="19"/>
      <c r="J184" s="9"/>
    </row>
    <row r="185" spans="1:10" s="8" customFormat="1" ht="12" x14ac:dyDescent="0.25">
      <c r="A185" s="16"/>
      <c r="B185" s="17"/>
      <c r="C185" s="17"/>
      <c r="D185" s="21"/>
      <c r="E185" s="21"/>
      <c r="F185" s="18"/>
      <c r="G185" s="20"/>
      <c r="I185" s="19"/>
      <c r="J185" s="9"/>
    </row>
    <row r="186" spans="1:10" s="8" customFormat="1" ht="12" x14ac:dyDescent="0.25">
      <c r="A186" s="16"/>
      <c r="B186" s="17"/>
      <c r="C186" s="17"/>
      <c r="D186" s="21"/>
      <c r="E186" s="21"/>
      <c r="F186" s="18"/>
      <c r="G186" s="20"/>
      <c r="I186" s="19"/>
      <c r="J186" s="9"/>
    </row>
    <row r="187" spans="1:10" s="8" customFormat="1" ht="12" x14ac:dyDescent="0.25">
      <c r="A187" s="16"/>
      <c r="B187" s="17"/>
      <c r="C187" s="17"/>
      <c r="D187" s="21"/>
      <c r="E187" s="21"/>
      <c r="F187" s="18"/>
      <c r="G187" s="20"/>
      <c r="I187" s="19"/>
      <c r="J187" s="9"/>
    </row>
    <row r="188" spans="1:10" s="8" customFormat="1" ht="12" x14ac:dyDescent="0.25">
      <c r="A188" s="16"/>
      <c r="B188" s="17"/>
      <c r="C188" s="17"/>
      <c r="D188" s="21"/>
      <c r="E188" s="21"/>
      <c r="F188" s="18"/>
      <c r="G188" s="20"/>
      <c r="I188" s="19"/>
      <c r="J188" s="9"/>
    </row>
    <row r="189" spans="1:10" s="8" customFormat="1" ht="12" x14ac:dyDescent="0.25">
      <c r="A189" s="16"/>
      <c r="B189" s="17"/>
      <c r="C189" s="17"/>
      <c r="D189" s="21"/>
      <c r="E189" s="21"/>
      <c r="F189" s="18"/>
      <c r="G189" s="20"/>
      <c r="I189" s="19"/>
      <c r="J189" s="9"/>
    </row>
    <row r="190" spans="1:10" s="8" customFormat="1" ht="12" x14ac:dyDescent="0.25">
      <c r="A190" s="16"/>
      <c r="B190" s="17"/>
      <c r="C190" s="17"/>
      <c r="D190" s="21"/>
      <c r="E190" s="21"/>
      <c r="F190" s="18"/>
      <c r="G190" s="20"/>
      <c r="I190" s="19"/>
      <c r="J190" s="9"/>
    </row>
    <row r="191" spans="1:10" s="8" customFormat="1" ht="12" x14ac:dyDescent="0.25">
      <c r="A191" s="16"/>
      <c r="B191" s="17"/>
      <c r="C191" s="17"/>
      <c r="D191" s="21"/>
      <c r="E191" s="21"/>
      <c r="F191" s="18"/>
      <c r="G191" s="20"/>
      <c r="I191" s="19"/>
      <c r="J191" s="9"/>
    </row>
    <row r="192" spans="1:10" s="8" customFormat="1" ht="12" x14ac:dyDescent="0.25">
      <c r="A192" s="16"/>
      <c r="B192" s="17"/>
      <c r="C192" s="17"/>
      <c r="D192" s="21"/>
      <c r="E192" s="21"/>
      <c r="F192" s="18"/>
      <c r="G192" s="20"/>
      <c r="I192" s="19"/>
      <c r="J192" s="9"/>
    </row>
    <row r="193" spans="1:10" s="8" customFormat="1" ht="12" x14ac:dyDescent="0.25">
      <c r="A193" s="16"/>
      <c r="B193" s="17"/>
      <c r="C193" s="17"/>
      <c r="D193" s="21"/>
      <c r="E193" s="21"/>
      <c r="F193" s="18"/>
      <c r="G193" s="20"/>
      <c r="I193" s="19"/>
      <c r="J193" s="9"/>
    </row>
    <row r="194" spans="1:10" s="8" customFormat="1" ht="12" x14ac:dyDescent="0.25">
      <c r="A194" s="16"/>
      <c r="B194" s="17"/>
      <c r="C194" s="17"/>
      <c r="D194" s="21"/>
      <c r="E194" s="21"/>
      <c r="F194" s="18"/>
      <c r="G194" s="20"/>
      <c r="I194" s="19"/>
      <c r="J194" s="9"/>
    </row>
    <row r="195" spans="1:10" s="8" customFormat="1" ht="12" x14ac:dyDescent="0.25">
      <c r="A195" s="16"/>
      <c r="B195" s="17"/>
      <c r="C195" s="17"/>
      <c r="D195" s="21"/>
      <c r="E195" s="21"/>
      <c r="F195" s="18"/>
      <c r="G195" s="20"/>
      <c r="I195" s="19"/>
      <c r="J195" s="9"/>
    </row>
    <row r="196" spans="1:10" s="8" customFormat="1" ht="12" x14ac:dyDescent="0.25">
      <c r="A196" s="16"/>
      <c r="B196" s="17"/>
      <c r="C196" s="17"/>
      <c r="D196" s="21"/>
      <c r="E196" s="21"/>
      <c r="F196" s="18"/>
      <c r="G196" s="20"/>
      <c r="I196" s="19"/>
      <c r="J196" s="9"/>
    </row>
    <row r="197" spans="1:10" s="8" customFormat="1" ht="12" x14ac:dyDescent="0.25">
      <c r="A197" s="16"/>
      <c r="B197" s="17"/>
      <c r="C197" s="17"/>
      <c r="D197" s="21"/>
      <c r="E197" s="21"/>
      <c r="F197" s="18"/>
      <c r="G197" s="20"/>
      <c r="I197" s="19"/>
      <c r="J197" s="9"/>
    </row>
    <row r="198" spans="1:10" s="8" customFormat="1" ht="12" x14ac:dyDescent="0.25">
      <c r="A198" s="16"/>
      <c r="B198" s="17"/>
      <c r="C198" s="17"/>
      <c r="D198" s="21"/>
      <c r="E198" s="21"/>
      <c r="F198" s="18"/>
      <c r="G198" s="20"/>
      <c r="I198" s="19"/>
      <c r="J198" s="9"/>
    </row>
    <row r="199" spans="1:10" s="8" customFormat="1" ht="12" x14ac:dyDescent="0.25">
      <c r="A199" s="16"/>
      <c r="B199" s="17"/>
      <c r="C199" s="17"/>
      <c r="D199" s="21"/>
      <c r="E199" s="21"/>
      <c r="F199" s="18"/>
      <c r="G199" s="20"/>
      <c r="I199" s="19"/>
      <c r="J199" s="9"/>
    </row>
    <row r="200" spans="1:10" s="8" customFormat="1" ht="12" x14ac:dyDescent="0.25">
      <c r="A200" s="16"/>
      <c r="B200" s="17"/>
      <c r="C200" s="17"/>
      <c r="D200" s="21"/>
      <c r="E200" s="21"/>
      <c r="F200" s="18"/>
      <c r="G200" s="20"/>
      <c r="I200" s="19"/>
      <c r="J200" s="9"/>
    </row>
    <row r="201" spans="1:10" s="8" customFormat="1" ht="12" x14ac:dyDescent="0.25">
      <c r="A201" s="16"/>
      <c r="B201" s="17"/>
      <c r="C201" s="17"/>
      <c r="D201" s="21"/>
      <c r="E201" s="21"/>
      <c r="F201" s="18"/>
      <c r="G201" s="20"/>
      <c r="I201" s="19"/>
      <c r="J201" s="9"/>
    </row>
    <row r="202" spans="1:10" s="8" customFormat="1" ht="12" x14ac:dyDescent="0.25">
      <c r="A202" s="16"/>
      <c r="B202" s="17"/>
      <c r="C202" s="17"/>
      <c r="D202" s="21"/>
      <c r="E202" s="21"/>
      <c r="F202" s="18"/>
      <c r="G202" s="20"/>
      <c r="I202" s="19"/>
      <c r="J202" s="9"/>
    </row>
    <row r="203" spans="1:10" s="8" customFormat="1" ht="12" x14ac:dyDescent="0.25">
      <c r="A203" s="16"/>
      <c r="B203" s="17"/>
      <c r="C203" s="17"/>
      <c r="D203" s="21"/>
      <c r="E203" s="21"/>
      <c r="F203" s="18"/>
      <c r="G203" s="20"/>
      <c r="I203" s="19"/>
      <c r="J203" s="9"/>
    </row>
    <row r="204" spans="1:10" s="8" customFormat="1" ht="12" x14ac:dyDescent="0.25">
      <c r="A204" s="16"/>
      <c r="B204" s="17"/>
      <c r="C204" s="17"/>
      <c r="D204" s="21"/>
      <c r="E204" s="21"/>
      <c r="F204" s="18"/>
      <c r="G204" s="20"/>
      <c r="I204" s="19"/>
      <c r="J204" s="9"/>
    </row>
    <row r="205" spans="1:10" s="8" customFormat="1" ht="12" x14ac:dyDescent="0.25">
      <c r="A205" s="16"/>
      <c r="B205" s="17"/>
      <c r="C205" s="17"/>
      <c r="D205" s="21"/>
      <c r="E205" s="21"/>
      <c r="F205" s="18"/>
      <c r="G205" s="20"/>
      <c r="I205" s="19"/>
      <c r="J205" s="9"/>
    </row>
    <row r="206" spans="1:10" s="8" customFormat="1" ht="12" x14ac:dyDescent="0.25">
      <c r="A206" s="16"/>
      <c r="B206" s="17"/>
      <c r="C206" s="17"/>
      <c r="D206" s="21"/>
      <c r="E206" s="21"/>
      <c r="F206" s="18"/>
      <c r="G206" s="20"/>
      <c r="I206" s="19"/>
      <c r="J206" s="9"/>
    </row>
    <row r="207" spans="1:10" s="8" customFormat="1" ht="12" x14ac:dyDescent="0.25">
      <c r="A207" s="16"/>
      <c r="B207" s="17"/>
      <c r="C207" s="17"/>
      <c r="D207" s="21"/>
      <c r="E207" s="21"/>
      <c r="F207" s="18"/>
      <c r="G207" s="20"/>
      <c r="I207" s="19"/>
      <c r="J207" s="9"/>
    </row>
    <row r="208" spans="1:10" s="8" customFormat="1" ht="12" x14ac:dyDescent="0.25">
      <c r="A208" s="16"/>
      <c r="B208" s="17"/>
      <c r="C208" s="17"/>
      <c r="D208" s="21"/>
      <c r="E208" s="21"/>
      <c r="F208" s="18"/>
      <c r="G208" s="20"/>
      <c r="I208" s="19"/>
      <c r="J208" s="9"/>
    </row>
    <row r="209" spans="1:10" s="8" customFormat="1" ht="12" x14ac:dyDescent="0.25">
      <c r="A209" s="16"/>
      <c r="B209" s="17"/>
      <c r="C209" s="17"/>
      <c r="D209" s="21"/>
      <c r="E209" s="21"/>
      <c r="F209" s="18"/>
      <c r="G209" s="20"/>
      <c r="I209" s="19"/>
      <c r="J209" s="9"/>
    </row>
    <row r="210" spans="1:10" s="8" customFormat="1" ht="12" x14ac:dyDescent="0.25">
      <c r="A210" s="16"/>
      <c r="B210" s="17"/>
      <c r="C210" s="17"/>
      <c r="D210" s="21"/>
      <c r="E210" s="21"/>
      <c r="F210" s="18"/>
      <c r="G210" s="20"/>
      <c r="I210" s="19"/>
      <c r="J210" s="9"/>
    </row>
    <row r="211" spans="1:10" s="8" customFormat="1" ht="12" x14ac:dyDescent="0.25">
      <c r="A211" s="16"/>
      <c r="B211" s="17"/>
      <c r="C211" s="17"/>
      <c r="D211" s="21"/>
      <c r="E211" s="21"/>
      <c r="F211" s="18"/>
      <c r="G211" s="20"/>
      <c r="I211" s="19"/>
      <c r="J211" s="9"/>
    </row>
    <row r="212" spans="1:10" s="8" customFormat="1" ht="12" x14ac:dyDescent="0.25">
      <c r="A212" s="16"/>
      <c r="B212" s="17"/>
      <c r="C212" s="17"/>
      <c r="D212" s="21"/>
      <c r="E212" s="21"/>
      <c r="F212" s="18"/>
      <c r="G212" s="20"/>
      <c r="I212" s="19"/>
      <c r="J212" s="9"/>
    </row>
    <row r="213" spans="1:10" s="8" customFormat="1" ht="12" x14ac:dyDescent="0.25">
      <c r="A213" s="16"/>
      <c r="B213" s="17"/>
      <c r="C213" s="17"/>
      <c r="D213" s="21"/>
      <c r="E213" s="21"/>
      <c r="F213" s="18"/>
      <c r="G213" s="20"/>
      <c r="I213" s="19"/>
      <c r="J213" s="9"/>
    </row>
    <row r="214" spans="1:10" s="8" customFormat="1" ht="12" x14ac:dyDescent="0.25">
      <c r="A214" s="16"/>
      <c r="B214" s="17"/>
      <c r="C214" s="17"/>
      <c r="D214" s="21"/>
      <c r="E214" s="21"/>
      <c r="F214" s="18"/>
      <c r="G214" s="20"/>
      <c r="I214" s="19"/>
      <c r="J214" s="9"/>
    </row>
    <row r="215" spans="1:10" s="8" customFormat="1" ht="12" x14ac:dyDescent="0.25">
      <c r="A215" s="16"/>
      <c r="B215" s="17"/>
      <c r="C215" s="17"/>
      <c r="D215" s="21"/>
      <c r="E215" s="21"/>
      <c r="F215" s="18"/>
      <c r="G215" s="20"/>
      <c r="I215" s="19"/>
      <c r="J215" s="9"/>
    </row>
    <row r="216" spans="1:10" s="8" customFormat="1" ht="12" x14ac:dyDescent="0.25">
      <c r="A216" s="16"/>
      <c r="B216" s="17"/>
      <c r="C216" s="17"/>
      <c r="D216" s="21"/>
      <c r="E216" s="21"/>
      <c r="F216" s="18"/>
      <c r="G216" s="20"/>
      <c r="I216" s="19"/>
      <c r="J216" s="9"/>
    </row>
    <row r="217" spans="1:10" s="8" customFormat="1" ht="12" x14ac:dyDescent="0.25">
      <c r="A217" s="16"/>
      <c r="B217" s="17"/>
      <c r="C217" s="17"/>
      <c r="D217" s="21"/>
      <c r="E217" s="21"/>
      <c r="F217" s="18"/>
      <c r="G217" s="20"/>
      <c r="I217" s="19"/>
      <c r="J217" s="9"/>
    </row>
    <row r="218" spans="1:10" s="8" customFormat="1" ht="12" x14ac:dyDescent="0.25">
      <c r="A218" s="16"/>
      <c r="B218" s="17"/>
      <c r="C218" s="17"/>
      <c r="D218" s="21"/>
      <c r="E218" s="21"/>
      <c r="F218" s="18"/>
      <c r="G218" s="20"/>
      <c r="I218" s="19"/>
      <c r="J218" s="9"/>
    </row>
    <row r="219" spans="1:10" s="8" customFormat="1" ht="12" x14ac:dyDescent="0.25">
      <c r="A219" s="16"/>
      <c r="B219" s="17"/>
      <c r="C219" s="17"/>
      <c r="D219" s="21"/>
      <c r="E219" s="21"/>
      <c r="F219" s="18"/>
      <c r="G219" s="20"/>
      <c r="I219" s="19"/>
      <c r="J219" s="9"/>
    </row>
    <row r="220" spans="1:10" s="8" customFormat="1" ht="12" x14ac:dyDescent="0.25">
      <c r="A220" s="16"/>
      <c r="B220" s="17"/>
      <c r="C220" s="17"/>
      <c r="D220" s="21"/>
      <c r="E220" s="21"/>
      <c r="F220" s="18"/>
      <c r="G220" s="20"/>
      <c r="I220" s="19"/>
      <c r="J220" s="9"/>
    </row>
    <row r="221" spans="1:10" s="8" customFormat="1" ht="12" x14ac:dyDescent="0.25">
      <c r="A221" s="16"/>
      <c r="B221" s="17"/>
      <c r="C221" s="17"/>
      <c r="D221" s="21"/>
      <c r="E221" s="21"/>
      <c r="F221" s="18"/>
      <c r="G221" s="20"/>
      <c r="I221" s="19"/>
      <c r="J221" s="9"/>
    </row>
    <row r="222" spans="1:10" s="8" customFormat="1" ht="12" x14ac:dyDescent="0.25">
      <c r="A222" s="16"/>
      <c r="B222" s="17"/>
      <c r="C222" s="17"/>
      <c r="D222" s="21"/>
      <c r="E222" s="21"/>
      <c r="F222" s="18"/>
      <c r="G222" s="20"/>
      <c r="I222" s="19"/>
      <c r="J222" s="9"/>
    </row>
    <row r="223" spans="1:10" s="8" customFormat="1" ht="12" x14ac:dyDescent="0.25">
      <c r="A223" s="16"/>
      <c r="B223" s="17"/>
      <c r="C223" s="17"/>
      <c r="D223" s="21"/>
      <c r="E223" s="21"/>
      <c r="F223" s="18"/>
      <c r="G223" s="20"/>
      <c r="I223" s="19"/>
      <c r="J223" s="9"/>
    </row>
    <row r="224" spans="1:10" s="8" customFormat="1" ht="12" x14ac:dyDescent="0.25">
      <c r="A224" s="16"/>
      <c r="B224" s="17"/>
      <c r="C224" s="17"/>
      <c r="D224" s="21"/>
      <c r="E224" s="21"/>
      <c r="F224" s="18"/>
      <c r="G224" s="20"/>
      <c r="I224" s="19"/>
      <c r="J224" s="9"/>
    </row>
    <row r="225" spans="1:10" s="8" customFormat="1" ht="12" x14ac:dyDescent="0.25">
      <c r="A225" s="16"/>
      <c r="B225" s="17"/>
      <c r="C225" s="17"/>
      <c r="D225" s="21"/>
      <c r="E225" s="21"/>
      <c r="F225" s="18"/>
      <c r="G225" s="20"/>
      <c r="I225" s="19"/>
      <c r="J225" s="9"/>
    </row>
    <row r="226" spans="1:10" s="8" customFormat="1" ht="12" x14ac:dyDescent="0.25">
      <c r="A226" s="16"/>
      <c r="B226" s="17"/>
      <c r="C226" s="17"/>
      <c r="D226" s="21"/>
      <c r="E226" s="21"/>
      <c r="F226" s="18"/>
      <c r="G226" s="20"/>
      <c r="I226" s="19"/>
      <c r="J226" s="9"/>
    </row>
    <row r="227" spans="1:10" s="8" customFormat="1" ht="12" x14ac:dyDescent="0.25">
      <c r="A227" s="16"/>
      <c r="B227" s="17"/>
      <c r="C227" s="17"/>
      <c r="D227" s="21"/>
      <c r="E227" s="21"/>
      <c r="F227" s="18"/>
      <c r="G227" s="20"/>
      <c r="I227" s="19"/>
      <c r="J227" s="9"/>
    </row>
    <row r="228" spans="1:10" s="8" customFormat="1" ht="12" x14ac:dyDescent="0.25">
      <c r="A228" s="16"/>
      <c r="B228" s="17"/>
      <c r="C228" s="17"/>
      <c r="D228" s="21"/>
      <c r="E228" s="21"/>
      <c r="F228" s="18"/>
      <c r="G228" s="20"/>
      <c r="I228" s="19"/>
      <c r="J228" s="9"/>
    </row>
    <row r="229" spans="1:10" s="8" customFormat="1" ht="12" x14ac:dyDescent="0.25">
      <c r="A229" s="16"/>
      <c r="B229" s="17"/>
      <c r="C229" s="17"/>
      <c r="D229" s="21"/>
      <c r="E229" s="21"/>
      <c r="F229" s="18"/>
      <c r="G229" s="20"/>
      <c r="I229" s="19"/>
      <c r="J229" s="9"/>
    </row>
    <row r="230" spans="1:10" s="8" customFormat="1" ht="12" x14ac:dyDescent="0.25">
      <c r="A230" s="16"/>
      <c r="B230" s="17"/>
      <c r="C230" s="17"/>
      <c r="D230" s="21"/>
      <c r="E230" s="21"/>
      <c r="F230" s="18"/>
      <c r="G230" s="20"/>
      <c r="I230" s="19"/>
      <c r="J230" s="9"/>
    </row>
    <row r="231" spans="1:10" s="8" customFormat="1" ht="12" x14ac:dyDescent="0.25">
      <c r="A231" s="16"/>
      <c r="B231" s="17"/>
      <c r="C231" s="17"/>
      <c r="D231" s="21"/>
      <c r="E231" s="21"/>
      <c r="F231" s="18"/>
      <c r="G231" s="20"/>
      <c r="I231" s="19"/>
      <c r="J231" s="9"/>
    </row>
    <row r="232" spans="1:10" s="8" customFormat="1" ht="12" x14ac:dyDescent="0.25">
      <c r="A232" s="16"/>
      <c r="B232" s="17"/>
      <c r="C232" s="17"/>
      <c r="D232" s="21"/>
      <c r="E232" s="21"/>
      <c r="F232" s="18"/>
      <c r="G232" s="20"/>
      <c r="I232" s="19"/>
      <c r="J232" s="9"/>
    </row>
    <row r="233" spans="1:10" s="8" customFormat="1" ht="12" x14ac:dyDescent="0.25">
      <c r="A233" s="16"/>
      <c r="B233" s="17"/>
      <c r="C233" s="17"/>
      <c r="D233" s="21"/>
      <c r="E233" s="21"/>
      <c r="F233" s="18"/>
      <c r="G233" s="20"/>
      <c r="I233" s="19"/>
      <c r="J233" s="9"/>
    </row>
    <row r="234" spans="1:10" s="8" customFormat="1" ht="12" x14ac:dyDescent="0.25">
      <c r="A234" s="16"/>
      <c r="B234" s="17"/>
      <c r="C234" s="17"/>
      <c r="D234" s="21"/>
      <c r="E234" s="21"/>
      <c r="F234" s="18"/>
      <c r="G234" s="20"/>
      <c r="I234" s="19"/>
      <c r="J234" s="9"/>
    </row>
    <row r="235" spans="1:10" s="8" customFormat="1" ht="12" x14ac:dyDescent="0.25">
      <c r="A235" s="16"/>
      <c r="B235" s="17"/>
      <c r="C235" s="17"/>
      <c r="D235" s="21"/>
      <c r="E235" s="21"/>
      <c r="F235" s="18"/>
      <c r="G235" s="20"/>
      <c r="I235" s="19"/>
      <c r="J235" s="9"/>
    </row>
    <row r="236" spans="1:10" s="8" customFormat="1" ht="12" x14ac:dyDescent="0.25">
      <c r="A236" s="16"/>
      <c r="B236" s="17"/>
      <c r="C236" s="17"/>
      <c r="D236" s="21"/>
      <c r="E236" s="21"/>
      <c r="F236" s="18"/>
      <c r="G236" s="20"/>
      <c r="I236" s="19"/>
      <c r="J236" s="9"/>
    </row>
    <row r="237" spans="1:10" s="8" customFormat="1" ht="12" x14ac:dyDescent="0.25">
      <c r="A237" s="16"/>
      <c r="B237" s="17"/>
      <c r="C237" s="17"/>
      <c r="D237" s="21"/>
      <c r="E237" s="21"/>
      <c r="F237" s="18"/>
      <c r="G237" s="20"/>
      <c r="I237" s="19"/>
      <c r="J237" s="9"/>
    </row>
    <row r="238" spans="1:10" s="8" customFormat="1" ht="12" x14ac:dyDescent="0.25">
      <c r="A238" s="16"/>
      <c r="B238" s="17"/>
      <c r="C238" s="17"/>
      <c r="D238" s="21"/>
      <c r="E238" s="21"/>
      <c r="F238" s="18"/>
      <c r="G238" s="20"/>
      <c r="I238" s="19"/>
      <c r="J238" s="9"/>
    </row>
    <row r="239" spans="1:10" s="8" customFormat="1" ht="12" x14ac:dyDescent="0.25">
      <c r="A239" s="16"/>
      <c r="B239" s="17"/>
      <c r="C239" s="17"/>
      <c r="D239" s="21"/>
      <c r="E239" s="21"/>
      <c r="F239" s="18"/>
      <c r="G239" s="20"/>
      <c r="I239" s="19"/>
      <c r="J239" s="9"/>
    </row>
    <row r="240" spans="1:10" s="8" customFormat="1" ht="12" x14ac:dyDescent="0.25">
      <c r="A240" s="16"/>
      <c r="B240" s="17"/>
      <c r="C240" s="17"/>
      <c r="D240" s="21"/>
      <c r="E240" s="21"/>
      <c r="F240" s="18"/>
      <c r="G240" s="20"/>
      <c r="I240" s="19"/>
      <c r="J240" s="9"/>
    </row>
    <row r="241" spans="1:10" s="8" customFormat="1" ht="12" x14ac:dyDescent="0.25">
      <c r="A241" s="16"/>
      <c r="B241" s="17"/>
      <c r="C241" s="17"/>
      <c r="D241" s="21"/>
      <c r="E241" s="21"/>
      <c r="F241" s="18"/>
      <c r="G241" s="20"/>
      <c r="I241" s="19"/>
      <c r="J241" s="9"/>
    </row>
    <row r="242" spans="1:10" s="8" customFormat="1" ht="12" x14ac:dyDescent="0.25">
      <c r="A242" s="16"/>
      <c r="B242" s="17"/>
      <c r="C242" s="17"/>
      <c r="D242" s="21"/>
      <c r="E242" s="21"/>
      <c r="F242" s="18"/>
      <c r="G242" s="20"/>
      <c r="I242" s="19"/>
      <c r="J242" s="9"/>
    </row>
    <row r="243" spans="1:10" s="8" customFormat="1" ht="12" x14ac:dyDescent="0.25">
      <c r="A243" s="16"/>
      <c r="B243" s="17"/>
      <c r="C243" s="17"/>
      <c r="D243" s="21"/>
      <c r="E243" s="21"/>
      <c r="F243" s="18"/>
      <c r="G243" s="20"/>
      <c r="I243" s="19"/>
      <c r="J243" s="9"/>
    </row>
    <row r="244" spans="1:10" s="8" customFormat="1" ht="12" x14ac:dyDescent="0.25">
      <c r="A244" s="16"/>
      <c r="B244" s="17"/>
      <c r="C244" s="17"/>
      <c r="D244" s="21"/>
      <c r="E244" s="21"/>
      <c r="F244" s="18"/>
      <c r="G244" s="20"/>
      <c r="I244" s="19"/>
      <c r="J244" s="9"/>
    </row>
    <row r="245" spans="1:10" s="8" customFormat="1" ht="12" x14ac:dyDescent="0.25">
      <c r="A245" s="16"/>
      <c r="B245" s="17"/>
      <c r="C245" s="17"/>
      <c r="D245" s="21"/>
      <c r="E245" s="21"/>
      <c r="F245" s="18"/>
      <c r="G245" s="20"/>
      <c r="I245" s="19"/>
      <c r="J245" s="9"/>
    </row>
    <row r="246" spans="1:10" s="8" customFormat="1" ht="12" x14ac:dyDescent="0.25">
      <c r="A246" s="16"/>
      <c r="B246" s="17"/>
      <c r="C246" s="17"/>
      <c r="D246" s="21"/>
      <c r="E246" s="21"/>
      <c r="F246" s="18"/>
      <c r="G246" s="20"/>
      <c r="I246" s="19"/>
      <c r="J246" s="9"/>
    </row>
    <row r="247" spans="1:10" s="8" customFormat="1" ht="12" x14ac:dyDescent="0.25">
      <c r="A247" s="16"/>
      <c r="B247" s="17"/>
      <c r="C247" s="17"/>
      <c r="D247" s="21"/>
      <c r="E247" s="21"/>
      <c r="F247" s="18"/>
      <c r="G247" s="20"/>
      <c r="I247" s="19"/>
      <c r="J247" s="9"/>
    </row>
    <row r="248" spans="1:10" s="8" customFormat="1" ht="12" x14ac:dyDescent="0.25">
      <c r="A248" s="16"/>
      <c r="B248" s="17"/>
      <c r="C248" s="17"/>
      <c r="D248" s="21"/>
      <c r="E248" s="21"/>
      <c r="F248" s="18"/>
      <c r="G248" s="20"/>
      <c r="I248" s="19"/>
      <c r="J248" s="9"/>
    </row>
    <row r="249" spans="1:10" s="8" customFormat="1" ht="12" x14ac:dyDescent="0.25">
      <c r="A249" s="16"/>
      <c r="B249" s="17"/>
      <c r="C249" s="17"/>
      <c r="D249" s="21"/>
      <c r="E249" s="21"/>
      <c r="F249" s="18"/>
      <c r="G249" s="20"/>
      <c r="I249" s="19"/>
      <c r="J249" s="9"/>
    </row>
  </sheetData>
  <autoFilter ref="A1:L10" xr:uid="{00000000-0009-0000-0000-000001000000}">
    <sortState xmlns:xlrd2="http://schemas.microsoft.com/office/spreadsheetml/2017/richdata2" ref="A2:M80">
      <sortCondition ref="F1:F10"/>
    </sortState>
  </autoFilter>
  <sortState xmlns:xlrd2="http://schemas.microsoft.com/office/spreadsheetml/2017/richdata2" ref="A2:G249">
    <sortCondition ref="F1:F249"/>
  </sortState>
  <conditionalFormatting sqref="D250:D1048576 D1:D3 D106 D110 D114 D118 D122 D126 D130 D134 D138 D142 D146 D150 D154 D158 D162 D166 D170 D7:D9 D13:D15 D19:D21 D25:D27 D31:D33 D37:D39 D43:D45 D49:D51 D55:D57 D61:D63 D67:D69 D73:D75 D79:D81 D85:D87 D91:D93 D97:D99 D103:D104">
    <cfRule type="duplicateValues" dxfId="41" priority="38"/>
  </conditionalFormatting>
  <conditionalFormatting sqref="D107 D111 D115 D119 D123 D127 D131 D135 D139 D143 D147 D151 D155 D159 D163 D167 D171">
    <cfRule type="duplicateValues" dxfId="40" priority="36"/>
  </conditionalFormatting>
  <conditionalFormatting sqref="D105 D108:D109 D112:D113 D116:D117 D120:D121 D124:D125 D128:D129 D132:D133 D136:D137 D140:D141 D144:D145 D148:D149 D152:D153 D156:D157 D160:D161 D164:D165 D168:D169 D172">
    <cfRule type="duplicateValues" dxfId="39" priority="34"/>
  </conditionalFormatting>
  <conditionalFormatting sqref="G3:G104 B3:C104">
    <cfRule type="beginsWith" dxfId="38" priority="41" operator="beginsWith" text="[K_">
      <formula>LEFT(#REF!,LEN("[K_"))="[K_"</formula>
    </cfRule>
  </conditionalFormatting>
  <conditionalFormatting sqref="G105:G172 B105:C172">
    <cfRule type="beginsWith" dxfId="37" priority="35" operator="beginsWith" text="[K_">
      <formula>LEFT(#REF!,LEN("[K_"))="[K_"</formula>
    </cfRule>
  </conditionalFormatting>
  <conditionalFormatting sqref="D173:D249">
    <cfRule type="duplicateValues" dxfId="36" priority="31"/>
  </conditionalFormatting>
  <conditionalFormatting sqref="G173:G249 B173:C249">
    <cfRule type="beginsWith" dxfId="35" priority="32" operator="beginsWith" text="[K_">
      <formula>LEFT(#REF!,LEN("[K_"))="[K_"</formula>
    </cfRule>
  </conditionalFormatting>
  <conditionalFormatting sqref="D4:D6 D10:D12 D16:D18 D22:D24 D28:D30 D34:D36 D40:D42 D46:D48 D52:D54 D58:D60 D64:D66 D70:D72 D76:D78 D82:D84 D88:D90 D94:D96 D100:D102">
    <cfRule type="duplicateValues" dxfId="34" priority="22"/>
  </conditionalFormatting>
  <conditionalFormatting sqref="F1:F1048576">
    <cfRule type="duplicateValues" dxfId="33" priority="6"/>
  </conditionalFormatting>
  <conditionalFormatting sqref="E250:E1048576 E1:E3 E106 E110 E114 E118 E122 E126 E130 E134 E138 E142 E146 E150 E154 E158 E162 E166 E170 E7:E9 E13:E15 E19:E21 E25:E27 E31:E33 E37:E39 E43:E45 E49:E51 E55:E57 E61:E63 E67:E69 E73:E75 E79:E81 E85:E87 E91:E93 E97:E99 E103:E104">
    <cfRule type="duplicateValues" dxfId="32" priority="5"/>
  </conditionalFormatting>
  <conditionalFormatting sqref="E107 E111 E115 E119 E123 E127 E131 E135 E139 E143 E147 E151 E155 E159 E163 E167 E171">
    <cfRule type="duplicateValues" dxfId="31" priority="4"/>
  </conditionalFormatting>
  <conditionalFormatting sqref="E105 E108:E109 E112:E113 E116:E117 E120:E121 E124:E125 E128:E129 E132:E133 E136:E137 E140:E141 E144:E145 E148:E149 E152:E153 E156:E157 E160:E161 E164:E165 E168:E169 E172">
    <cfRule type="duplicateValues" dxfId="30" priority="3"/>
  </conditionalFormatting>
  <conditionalFormatting sqref="E173:E249">
    <cfRule type="duplicateValues" dxfId="29" priority="2"/>
  </conditionalFormatting>
  <conditionalFormatting sqref="E4:E6 E10:E12 E16:E18 E22:E24 E28:E30 E34:E36 E40:E42 E46:E48 E52:E54 E58:E60 E64:E66 E70:E72 E76:E78 E82:E84 E88:E90 E94:E96 E100:E102">
    <cfRule type="duplicateValues" dxfId="28"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665D-2048-413E-B5F3-92DD54B1828A}">
  <dimension ref="A1:K254"/>
  <sheetViews>
    <sheetView topLeftCell="A67" zoomScale="130" zoomScaleNormal="130" workbookViewId="0">
      <selection activeCell="H3" sqref="H3:H102"/>
    </sheetView>
  </sheetViews>
  <sheetFormatPr baseColWidth="10" defaultColWidth="11.42578125" defaultRowHeight="15" x14ac:dyDescent="0.25"/>
  <cols>
    <col min="1" max="1" width="3.28515625" style="11" customWidth="1"/>
    <col min="2" max="3" width="4.140625" customWidth="1"/>
    <col min="4" max="4" width="17.5703125" style="13" bestFit="1" customWidth="1"/>
    <col min="5" max="5" width="36.140625" style="7" bestFit="1" customWidth="1"/>
    <col min="6" max="6" width="10.140625" style="13" customWidth="1"/>
    <col min="7" max="7" width="9.7109375" customWidth="1"/>
    <col min="8" max="8" width="25.28515625" customWidth="1"/>
    <col min="9" max="9" width="17.42578125" style="10" customWidth="1"/>
  </cols>
  <sheetData>
    <row r="1" spans="1:11" s="15" customFormat="1" x14ac:dyDescent="0.25">
      <c r="A1" s="14" t="s">
        <v>4</v>
      </c>
      <c r="B1" s="15" t="s">
        <v>0</v>
      </c>
      <c r="C1" s="15" t="s">
        <v>1</v>
      </c>
      <c r="D1" t="s">
        <v>24</v>
      </c>
      <c r="E1" t="s">
        <v>25</v>
      </c>
      <c r="F1" t="s">
        <v>26</v>
      </c>
      <c r="H1" s="15" t="s">
        <v>5</v>
      </c>
      <c r="I1" s="15" t="s">
        <v>299</v>
      </c>
      <c r="J1" s="15" t="s">
        <v>2</v>
      </c>
      <c r="K1" s="15" t="str">
        <f>CONCATENATE($H$1,$I$1,$J$1,B3, ", ", C3, ", ", )</f>
        <v xml:space="preserve">EXECUTE [dbo].[PG_CI_MOTIVO_ORDEN_TRABAJO] 0, 0, </v>
      </c>
    </row>
    <row r="2" spans="1:11" s="8" customFormat="1" x14ac:dyDescent="0.25">
      <c r="A2" s="3"/>
      <c r="B2" s="5" t="s">
        <v>3</v>
      </c>
      <c r="C2" s="5" t="s">
        <v>3</v>
      </c>
      <c r="D2" s="12" t="s">
        <v>3</v>
      </c>
      <c r="E2" s="6" t="s">
        <v>3</v>
      </c>
      <c r="F2" s="12" t="s">
        <v>3</v>
      </c>
      <c r="G2" s="1"/>
      <c r="H2" s="2" t="str">
        <f>"-- =========================================================="</f>
        <v>-- ==========================================================</v>
      </c>
      <c r="J2" s="4"/>
      <c r="K2" s="1"/>
    </row>
    <row r="3" spans="1:11" s="8" customFormat="1" ht="12" x14ac:dyDescent="0.25">
      <c r="A3" s="16"/>
      <c r="B3" s="17">
        <v>0</v>
      </c>
      <c r="C3" s="17">
        <v>0</v>
      </c>
      <c r="D3" s="21">
        <v>1</v>
      </c>
      <c r="E3" s="18" t="s">
        <v>205</v>
      </c>
      <c r="F3" s="20">
        <v>1</v>
      </c>
      <c r="H3" s="19" t="str">
        <f>CONCATENATE(CI_MOTIVO!$K$1,D3,",'",E3,"', ",F3,"")</f>
        <v>EXECUTE [dbo].[PG_CI_MOTIVO_ORDEN_TRABAJO] 0, 0, 1,'Aire evaporativo sin base', 1</v>
      </c>
      <c r="I3" s="9"/>
    </row>
    <row r="4" spans="1:11" s="8" customFormat="1" ht="12" x14ac:dyDescent="0.25">
      <c r="A4" s="16"/>
      <c r="B4" s="17">
        <v>0</v>
      </c>
      <c r="C4" s="17">
        <v>0</v>
      </c>
      <c r="D4" s="21">
        <v>2</v>
      </c>
      <c r="E4" s="18" t="s">
        <v>206</v>
      </c>
      <c r="F4" s="20">
        <v>1</v>
      </c>
      <c r="H4" s="19" t="str">
        <f>CONCATENATE(CI_MOTIVO!$K$1,D4,",'",E4,"', ",F4,"")</f>
        <v>EXECUTE [dbo].[PG_CI_MOTIVO_ORDEN_TRABAJO] 0, 0, 2,'Banda floja', 1</v>
      </c>
      <c r="I4" s="9"/>
    </row>
    <row r="5" spans="1:11" s="8" customFormat="1" ht="12" x14ac:dyDescent="0.25">
      <c r="A5" s="16"/>
      <c r="B5" s="17">
        <v>0</v>
      </c>
      <c r="C5" s="17">
        <v>0</v>
      </c>
      <c r="D5" s="21">
        <v>3</v>
      </c>
      <c r="E5" s="18" t="s">
        <v>207</v>
      </c>
      <c r="F5" s="20">
        <v>1</v>
      </c>
      <c r="H5" s="19" t="str">
        <f>CONCATENATE(CI_MOTIVO!$K$1,D5,",'",E5,"', ",F5,"")</f>
        <v>EXECUTE [dbo].[PG_CI_MOTIVO_ORDEN_TRABAJO] 0, 0, 3,'Baquelitas resecas', 1</v>
      </c>
      <c r="I5" s="9"/>
    </row>
    <row r="6" spans="1:11" x14ac:dyDescent="0.25">
      <c r="A6" s="16"/>
      <c r="B6" s="17">
        <v>0</v>
      </c>
      <c r="C6" s="17">
        <v>0</v>
      </c>
      <c r="D6" s="21">
        <v>4</v>
      </c>
      <c r="E6" s="18" t="s">
        <v>208</v>
      </c>
      <c r="F6" s="20">
        <v>1</v>
      </c>
      <c r="G6" s="8"/>
      <c r="H6" s="19" t="str">
        <f>CONCATENATE(CI_MOTIVO!$K$1,D6,",'",E6,"', ",F6,"")</f>
        <v>EXECUTE [dbo].[PG_CI_MOTIVO_ORDEN_TRABAJO] 0, 0, 4,'Base quebrada', 1</v>
      </c>
      <c r="I6" s="9"/>
      <c r="J6" s="8"/>
      <c r="K6" s="8"/>
    </row>
    <row r="7" spans="1:11" s="8" customFormat="1" ht="12" x14ac:dyDescent="0.25">
      <c r="A7" s="16"/>
      <c r="B7" s="17">
        <v>0</v>
      </c>
      <c r="C7" s="17">
        <v>0</v>
      </c>
      <c r="D7" s="21">
        <v>5</v>
      </c>
      <c r="E7" s="18" t="s">
        <v>289</v>
      </c>
      <c r="F7" s="20">
        <v>1</v>
      </c>
      <c r="H7" s="19" t="str">
        <f>CONCATENATE(CI_MOTIVO!$K$1,D7,",'",E7,"', ",F7,"")</f>
        <v>EXECUTE [dbo].[PG_CI_MOTIVO_ORDEN_TRABAJO] 0, 0, 5,'Bloqueo', 1</v>
      </c>
      <c r="I7" s="9"/>
    </row>
    <row r="8" spans="1:11" s="8" customFormat="1" ht="12" x14ac:dyDescent="0.25">
      <c r="A8" s="16"/>
      <c r="B8" s="17">
        <v>0</v>
      </c>
      <c r="C8" s="17">
        <v>0</v>
      </c>
      <c r="D8" s="21">
        <v>6</v>
      </c>
      <c r="E8" s="18" t="s">
        <v>297</v>
      </c>
      <c r="F8" s="20">
        <v>1</v>
      </c>
      <c r="H8" s="19" t="str">
        <f>CONCATENATE(CI_MOTIVO!$K$1,D8,",'",E8,"', ",F8,"")</f>
        <v>EXECUTE [dbo].[PG_CI_MOTIVO_ORDEN_TRABAJO] 0, 0, 6,'Bomba de agua dañada', 1</v>
      </c>
      <c r="I8" s="9"/>
    </row>
    <row r="9" spans="1:11" s="8" customFormat="1" ht="12" x14ac:dyDescent="0.25">
      <c r="A9" s="16"/>
      <c r="B9" s="17">
        <v>0</v>
      </c>
      <c r="C9" s="17">
        <v>0</v>
      </c>
      <c r="D9" s="21">
        <v>7</v>
      </c>
      <c r="E9" s="18" t="s">
        <v>209</v>
      </c>
      <c r="F9" s="20">
        <v>1</v>
      </c>
      <c r="H9" s="19" t="str">
        <f>CONCATENATE(CI_MOTIVO!$K$1,D9,",'",E9,"', ",F9,"")</f>
        <v>EXECUTE [dbo].[PG_CI_MOTIVO_ORDEN_TRABAJO] 0, 0, 7,'Boton danado', 1</v>
      </c>
      <c r="I9" s="9"/>
    </row>
    <row r="10" spans="1:11" s="8" customFormat="1" ht="12" x14ac:dyDescent="0.25">
      <c r="A10" s="16"/>
      <c r="B10" s="17">
        <v>0</v>
      </c>
      <c r="C10" s="17">
        <v>0</v>
      </c>
      <c r="D10" s="21">
        <v>8</v>
      </c>
      <c r="E10" s="18" t="s">
        <v>210</v>
      </c>
      <c r="F10" s="20">
        <v>1</v>
      </c>
      <c r="H10" s="19" t="str">
        <f>CONCATENATE(CI_MOTIVO!$K$1,D10,",'",E10,"', ",F10,"")</f>
        <v>EXECUTE [dbo].[PG_CI_MOTIVO_ORDEN_TRABAJO] 0, 0, 8,'Buje suelto', 1</v>
      </c>
      <c r="I10" s="9"/>
    </row>
    <row r="11" spans="1:11" s="8" customFormat="1" ht="12" x14ac:dyDescent="0.25">
      <c r="A11" s="16"/>
      <c r="B11" s="17">
        <v>0</v>
      </c>
      <c r="C11" s="17">
        <v>0</v>
      </c>
      <c r="D11" s="21">
        <v>9</v>
      </c>
      <c r="E11" s="18" t="s">
        <v>211</v>
      </c>
      <c r="F11" s="20">
        <v>1</v>
      </c>
      <c r="H11" s="19" t="str">
        <f>CONCATENATE(CI_MOTIVO!$K$1,D11,",'",E11,"', ",F11,"")</f>
        <v>EXECUTE [dbo].[PG_CI_MOTIVO_ORDEN_TRABAJO] 0, 0, 9,'Cabezal desnivelado', 1</v>
      </c>
      <c r="I11" s="9"/>
    </row>
    <row r="12" spans="1:11" s="8" customFormat="1" ht="12" x14ac:dyDescent="0.25">
      <c r="A12" s="16"/>
      <c r="B12" s="17">
        <v>0</v>
      </c>
      <c r="C12" s="17">
        <v>0</v>
      </c>
      <c r="D12" s="21">
        <v>10</v>
      </c>
      <c r="E12" s="18" t="s">
        <v>212</v>
      </c>
      <c r="F12" s="20">
        <v>1</v>
      </c>
      <c r="H12" s="19" t="str">
        <f>CONCATENATE(CI_MOTIVO!$K$1,D12,",'",E12,"', ",F12,"")</f>
        <v>EXECUTE [dbo].[PG_CI_MOTIVO_ORDEN_TRABAJO] 0, 0, 10,'Cable suelto', 1</v>
      </c>
      <c r="I12" s="9"/>
    </row>
    <row r="13" spans="1:11" s="8" customFormat="1" ht="12" x14ac:dyDescent="0.25">
      <c r="A13" s="16"/>
      <c r="B13" s="17">
        <v>0</v>
      </c>
      <c r="C13" s="17">
        <v>0</v>
      </c>
      <c r="D13" s="21">
        <v>11</v>
      </c>
      <c r="E13" s="18" t="s">
        <v>265</v>
      </c>
      <c r="F13" s="20">
        <v>1</v>
      </c>
      <c r="H13" s="19" t="str">
        <f>CONCATENATE(CI_MOTIVO!$K$1,D13,",'",E13,"', ",F13,"")</f>
        <v>EXECUTE [dbo].[PG_CI_MOTIVO_ORDEN_TRABAJO] 0, 0, 11,'Cadena dañada', 1</v>
      </c>
      <c r="I13" s="9"/>
    </row>
    <row r="14" spans="1:11" s="8" customFormat="1" ht="12" x14ac:dyDescent="0.25">
      <c r="A14" s="16"/>
      <c r="B14" s="17">
        <v>0</v>
      </c>
      <c r="C14" s="17">
        <v>0</v>
      </c>
      <c r="D14" s="21">
        <v>12</v>
      </c>
      <c r="E14" s="18" t="s">
        <v>290</v>
      </c>
      <c r="F14" s="20">
        <v>1</v>
      </c>
      <c r="H14" s="19" t="str">
        <f>CONCATENATE(CI_MOTIVO!$K$1,D14,",'",E14,"', ",F14,"")</f>
        <v>EXECUTE [dbo].[PG_CI_MOTIVO_ORDEN_TRABAJO] 0, 0, 12,'Cadena salida', 1</v>
      </c>
      <c r="I14" s="9"/>
    </row>
    <row r="15" spans="1:11" s="8" customFormat="1" ht="12" x14ac:dyDescent="0.25">
      <c r="A15" s="16"/>
      <c r="B15" s="17">
        <v>0</v>
      </c>
      <c r="C15" s="17">
        <v>0</v>
      </c>
      <c r="D15" s="21">
        <v>13</v>
      </c>
      <c r="E15" s="18" t="s">
        <v>298</v>
      </c>
      <c r="F15" s="20">
        <v>1</v>
      </c>
      <c r="H15" s="19" t="str">
        <f>CONCATENATE(CI_MOTIVO!$K$1,D15,",'",E15,"', ",F15,"")</f>
        <v>EXECUTE [dbo].[PG_CI_MOTIVO_ORDEN_TRABAJO] 0, 0, 13,'Caja eléctrica sin tapa', 1</v>
      </c>
      <c r="I15" s="9"/>
    </row>
    <row r="16" spans="1:11" s="8" customFormat="1" ht="12" x14ac:dyDescent="0.25">
      <c r="A16" s="16"/>
      <c r="B16" s="17">
        <v>0</v>
      </c>
      <c r="C16" s="17">
        <v>0</v>
      </c>
      <c r="D16" s="21">
        <v>14</v>
      </c>
      <c r="E16" s="18" t="s">
        <v>268</v>
      </c>
      <c r="F16" s="20">
        <v>1</v>
      </c>
      <c r="H16" s="19" t="str">
        <f>CONCATENATE(CI_MOTIVO!$K$1,D16,",'",E16,"', ",F16,"")</f>
        <v>EXECUTE [dbo].[PG_CI_MOTIVO_ORDEN_TRABAJO] 0, 0, 14,'Cambio de plafones', 1</v>
      </c>
      <c r="I16" s="9"/>
    </row>
    <row r="17" spans="1:9" s="8" customFormat="1" ht="12" x14ac:dyDescent="0.25">
      <c r="A17" s="16"/>
      <c r="B17" s="17">
        <v>0</v>
      </c>
      <c r="C17" s="17">
        <v>0</v>
      </c>
      <c r="D17" s="21">
        <v>15</v>
      </c>
      <c r="E17" s="18" t="s">
        <v>266</v>
      </c>
      <c r="F17" s="20">
        <v>1</v>
      </c>
      <c r="H17" s="19" t="str">
        <f>CONCATENATE(CI_MOTIVO!$K$1,D17,",'",E17,"', ",F17,"")</f>
        <v>EXECUTE [dbo].[PG_CI_MOTIVO_ORDEN_TRABAJO] 0, 0, 15,'Carrito dañado', 1</v>
      </c>
      <c r="I17" s="9"/>
    </row>
    <row r="18" spans="1:9" s="8" customFormat="1" ht="12" x14ac:dyDescent="0.25">
      <c r="A18" s="16"/>
      <c r="B18" s="17">
        <v>0</v>
      </c>
      <c r="C18" s="17">
        <v>0</v>
      </c>
      <c r="D18" s="21">
        <v>16</v>
      </c>
      <c r="E18" s="18" t="s">
        <v>213</v>
      </c>
      <c r="F18" s="20">
        <v>1</v>
      </c>
      <c r="H18" s="19" t="str">
        <f>CONCATENATE(CI_MOTIVO!$K$1,D18,",'",E18,"', ",F18,"")</f>
        <v>EXECUTE [dbo].[PG_CI_MOTIVO_ORDEN_TRABAJO] 0, 0, 16,'Chainblock atorado', 1</v>
      </c>
      <c r="I18" s="9"/>
    </row>
    <row r="19" spans="1:9" s="8" customFormat="1" ht="12" x14ac:dyDescent="0.25">
      <c r="A19" s="16"/>
      <c r="B19" s="17">
        <v>0</v>
      </c>
      <c r="C19" s="17">
        <v>0</v>
      </c>
      <c r="D19" s="21">
        <v>17</v>
      </c>
      <c r="E19" s="18" t="s">
        <v>267</v>
      </c>
      <c r="F19" s="20">
        <v>1</v>
      </c>
      <c r="H19" s="19" t="str">
        <f>CONCATENATE(CI_MOTIVO!$K$1,D19,",'",E19,"', ",F19,"")</f>
        <v>EXECUTE [dbo].[PG_CI_MOTIVO_ORDEN_TRABAJO] 0, 0, 17,'Chainblock dañado', 1</v>
      </c>
      <c r="I19" s="9"/>
    </row>
    <row r="20" spans="1:9" s="8" customFormat="1" ht="12" x14ac:dyDescent="0.25">
      <c r="A20" s="16"/>
      <c r="B20" s="17">
        <v>0</v>
      </c>
      <c r="C20" s="17">
        <v>0</v>
      </c>
      <c r="D20" s="21">
        <v>18</v>
      </c>
      <c r="E20" s="18" t="s">
        <v>214</v>
      </c>
      <c r="F20" s="20">
        <v>1</v>
      </c>
      <c r="H20" s="19" t="str">
        <f>CONCATENATE(CI_MOTIVO!$K$1,D20,",'",E20,"', ",F20,"")</f>
        <v>EXECUTE [dbo].[PG_CI_MOTIVO_ORDEN_TRABAJO] 0, 0, 18,'Chapa floja', 1</v>
      </c>
      <c r="I20" s="9"/>
    </row>
    <row r="21" spans="1:9" s="8" customFormat="1" ht="12" x14ac:dyDescent="0.25">
      <c r="A21" s="16"/>
      <c r="B21" s="17">
        <v>0</v>
      </c>
      <c r="C21" s="17">
        <v>0</v>
      </c>
      <c r="D21" s="21">
        <v>19</v>
      </c>
      <c r="E21" s="18" t="s">
        <v>337</v>
      </c>
      <c r="F21" s="20">
        <v>1</v>
      </c>
      <c r="H21" s="19" t="str">
        <f>CONCATENATE(CI_MOTIVO!$K$1,D21,",'",E21,"', ",F21,"")</f>
        <v>EXECUTE [dbo].[PG_CI_MOTIVO_ORDEN_TRABAJO] 0, 0, 19,'Dado vencido', 1</v>
      </c>
      <c r="I21" s="9"/>
    </row>
    <row r="22" spans="1:9" s="8" customFormat="1" ht="12" x14ac:dyDescent="0.25">
      <c r="A22" s="16"/>
      <c r="B22" s="17">
        <v>0</v>
      </c>
      <c r="C22" s="17">
        <v>0</v>
      </c>
      <c r="D22" s="21">
        <v>20</v>
      </c>
      <c r="E22" s="18" t="s">
        <v>338</v>
      </c>
      <c r="F22" s="20">
        <v>1</v>
      </c>
      <c r="H22" s="19" t="str">
        <f>CONCATENATE(CI_MOTIVO!$K$1,D22,",'",E22,"', ",F22,"")</f>
        <v>EXECUTE [dbo].[PG_CI_MOTIVO_ORDEN_TRABAJO] 0, 0, 20,'Muesca dañada', 1</v>
      </c>
      <c r="I22" s="9"/>
    </row>
    <row r="23" spans="1:9" s="8" customFormat="1" ht="12" x14ac:dyDescent="0.25">
      <c r="A23" s="16"/>
      <c r="B23" s="17">
        <v>0</v>
      </c>
      <c r="C23" s="17">
        <v>0</v>
      </c>
      <c r="D23" s="21">
        <v>21</v>
      </c>
      <c r="E23" s="18" t="s">
        <v>339</v>
      </c>
      <c r="F23" s="20">
        <v>1</v>
      </c>
      <c r="H23" s="19" t="str">
        <f>CONCATENATE(CI_MOTIVO!$K$1,D23,",'",E23,"', ",F23,"")</f>
        <v>EXECUTE [dbo].[PG_CI_MOTIVO_ORDEN_TRABAJO] 0, 0, 21,'Dado quebrado', 1</v>
      </c>
      <c r="I23" s="9"/>
    </row>
    <row r="24" spans="1:9" s="8" customFormat="1" ht="12" x14ac:dyDescent="0.25">
      <c r="A24" s="16"/>
      <c r="B24" s="17">
        <v>0</v>
      </c>
      <c r="C24" s="17">
        <v>0</v>
      </c>
      <c r="D24" s="21">
        <v>22</v>
      </c>
      <c r="E24" s="18" t="s">
        <v>340</v>
      </c>
      <c r="F24" s="20">
        <v>1</v>
      </c>
      <c r="H24" s="19" t="str">
        <f>CONCATENATE(CI_MOTIVO!$K$1,D24,",'",E24,"', ",F24,"")</f>
        <v>EXECUTE [dbo].[PG_CI_MOTIVO_ORDEN_TRABAJO] 0, 0, 22,'Placa', 1</v>
      </c>
      <c r="I24" s="9"/>
    </row>
    <row r="25" spans="1:9" s="8" customFormat="1" ht="12" x14ac:dyDescent="0.25">
      <c r="A25" s="16"/>
      <c r="B25" s="17">
        <v>0</v>
      </c>
      <c r="C25" s="17">
        <v>0</v>
      </c>
      <c r="D25" s="21">
        <v>23</v>
      </c>
      <c r="E25" s="18" t="s">
        <v>341</v>
      </c>
      <c r="F25" s="20">
        <v>1</v>
      </c>
      <c r="H25" s="19" t="str">
        <f>CONCATENATE(CI_MOTIVO!$K$1,D25,",'",E25,"', ",F25,"")</f>
        <v>EXECUTE [dbo].[PG_CI_MOTIVO_ORDEN_TRABAJO] 0, 0, 23,'Gomas', 1</v>
      </c>
      <c r="I25" s="9"/>
    </row>
    <row r="26" spans="1:9" s="8" customFormat="1" ht="12" x14ac:dyDescent="0.25">
      <c r="A26" s="16"/>
      <c r="B26" s="17">
        <v>0</v>
      </c>
      <c r="C26" s="17">
        <v>0</v>
      </c>
      <c r="D26" s="21">
        <v>24</v>
      </c>
      <c r="E26" s="18" t="s">
        <v>342</v>
      </c>
      <c r="F26" s="20">
        <v>1</v>
      </c>
      <c r="H26" s="19" t="str">
        <f>CONCATENATE(CI_MOTIVO!$K$1,D26,",'",E26,"', ",F26,"")</f>
        <v>EXECUTE [dbo].[PG_CI_MOTIVO_ORDEN_TRABAJO] 0, 0, 24,'Filo', 1</v>
      </c>
      <c r="I26" s="9"/>
    </row>
    <row r="27" spans="1:9" s="8" customFormat="1" ht="12" x14ac:dyDescent="0.25">
      <c r="A27" s="16"/>
      <c r="B27" s="17">
        <v>0</v>
      </c>
      <c r="C27" s="17">
        <v>0</v>
      </c>
      <c r="D27" s="21">
        <v>25</v>
      </c>
      <c r="E27" s="18" t="s">
        <v>269</v>
      </c>
      <c r="F27" s="20">
        <v>1</v>
      </c>
      <c r="H27" s="19" t="str">
        <f>CONCATENATE(CI_MOTIVO!$K$1,D27,",'",E27,"', ",F27,"")</f>
        <v>EXECUTE [dbo].[PG_CI_MOTIVO_ORDEN_TRABAJO] 0, 0, 25,'Dado recorrido', 1</v>
      </c>
      <c r="I27" s="9"/>
    </row>
    <row r="28" spans="1:9" s="8" customFormat="1" ht="12" x14ac:dyDescent="0.25">
      <c r="A28" s="16"/>
      <c r="B28" s="17">
        <v>0</v>
      </c>
      <c r="C28" s="17">
        <v>0</v>
      </c>
      <c r="D28" s="21">
        <v>26</v>
      </c>
      <c r="E28" s="18" t="s">
        <v>215</v>
      </c>
      <c r="F28" s="20">
        <v>1</v>
      </c>
      <c r="H28" s="19" t="str">
        <f>CONCATENATE(CI_MOTIVO!$K$1,D28,",'",E28,"', ",F28,"")</f>
        <v>EXECUTE [dbo].[PG_CI_MOTIVO_ORDEN_TRABAJO] 0, 0, 26,'Desanivelada', 1</v>
      </c>
      <c r="I28" s="9"/>
    </row>
    <row r="29" spans="1:9" s="8" customFormat="1" ht="12" x14ac:dyDescent="0.25">
      <c r="A29" s="16"/>
      <c r="B29" s="17">
        <v>0</v>
      </c>
      <c r="C29" s="17">
        <v>0</v>
      </c>
      <c r="D29" s="21">
        <v>27</v>
      </c>
      <c r="E29" s="18" t="s">
        <v>216</v>
      </c>
      <c r="F29" s="20">
        <v>1</v>
      </c>
      <c r="H29" s="19" t="str">
        <f>CONCATENATE(CI_MOTIVO!$K$1,D29,",'",E29,"', ",F29,"")</f>
        <v>EXECUTE [dbo].[PG_CI_MOTIVO_ORDEN_TRABAJO] 0, 0, 27,'Ductos de aire sucio', 1</v>
      </c>
      <c r="I29" s="9"/>
    </row>
    <row r="30" spans="1:9" s="8" customFormat="1" ht="12" x14ac:dyDescent="0.25">
      <c r="A30" s="16"/>
      <c r="B30" s="17">
        <v>0</v>
      </c>
      <c r="C30" s="17">
        <v>0</v>
      </c>
      <c r="D30" s="21">
        <v>28</v>
      </c>
      <c r="E30" s="18" t="s">
        <v>270</v>
      </c>
      <c r="F30" s="20">
        <v>1</v>
      </c>
      <c r="H30" s="19" t="str">
        <f>CONCATENATE(CI_MOTIVO!$K$1,D30,",'",E30,"', ",F30,"")</f>
        <v>EXECUTE [dbo].[PG_CI_MOTIVO_ORDEN_TRABAJO] 0, 0, 28,'Evaporativo dañado', 1</v>
      </c>
      <c r="I30" s="9"/>
    </row>
    <row r="31" spans="1:9" s="8" customFormat="1" ht="12" x14ac:dyDescent="0.25">
      <c r="A31" s="16"/>
      <c r="B31" s="17">
        <v>0</v>
      </c>
      <c r="C31" s="17">
        <v>0</v>
      </c>
      <c r="D31" s="21">
        <v>29</v>
      </c>
      <c r="E31" s="18" t="s">
        <v>217</v>
      </c>
      <c r="F31" s="20">
        <v>1</v>
      </c>
      <c r="H31" s="19" t="str">
        <f>CONCATENATE(CI_MOTIVO!$K$1,D31,",'",E31,"', ",F31,"")</f>
        <v>EXECUTE [dbo].[PG_CI_MOTIVO_ORDEN_TRABAJO] 0, 0, 29,'Fabricar base', 1</v>
      </c>
      <c r="I31" s="9"/>
    </row>
    <row r="32" spans="1:9" s="8" customFormat="1" ht="12" x14ac:dyDescent="0.25">
      <c r="A32" s="16"/>
      <c r="B32" s="17">
        <v>0</v>
      </c>
      <c r="C32" s="17">
        <v>0</v>
      </c>
      <c r="D32" s="21">
        <v>30</v>
      </c>
      <c r="E32" s="18" t="s">
        <v>218</v>
      </c>
      <c r="F32" s="20">
        <v>1</v>
      </c>
      <c r="H32" s="19" t="str">
        <f>CONCATENATE(CI_MOTIVO!$K$1,D32,",'",E32,"', ",F32,"")</f>
        <v>EXECUTE [dbo].[PG_CI_MOTIVO_ORDEN_TRABAJO] 0, 0, 30,'Fabricar tope', 1</v>
      </c>
      <c r="I32" s="9"/>
    </row>
    <row r="33" spans="1:9" s="8" customFormat="1" ht="12" x14ac:dyDescent="0.25">
      <c r="A33" s="16"/>
      <c r="B33" s="17">
        <v>0</v>
      </c>
      <c r="C33" s="17">
        <v>0</v>
      </c>
      <c r="D33" s="21">
        <v>31</v>
      </c>
      <c r="E33" s="18" t="s">
        <v>271</v>
      </c>
      <c r="F33" s="20">
        <v>1</v>
      </c>
      <c r="H33" s="19" t="str">
        <f>CONCATENATE(CI_MOTIVO!$K$1,D33,",'",E33,"', ",F33,"")</f>
        <v>EXECUTE [dbo].[PG_CI_MOTIVO_ORDEN_TRABAJO] 0, 0, 31,'Falla de botón', 1</v>
      </c>
      <c r="I33" s="9"/>
    </row>
    <row r="34" spans="1:9" s="8" customFormat="1" ht="12" x14ac:dyDescent="0.25">
      <c r="A34" s="16"/>
      <c r="B34" s="17">
        <v>0</v>
      </c>
      <c r="C34" s="17">
        <v>0</v>
      </c>
      <c r="D34" s="21">
        <v>32</v>
      </c>
      <c r="E34" s="18" t="s">
        <v>219</v>
      </c>
      <c r="F34" s="20">
        <v>1</v>
      </c>
      <c r="H34" s="19" t="str">
        <f>CONCATENATE(CI_MOTIVO!$K$1,D34,",'",E34,"', ",F34,"")</f>
        <v>EXECUTE [dbo].[PG_CI_MOTIVO_ORDEN_TRABAJO] 0, 0, 32,'Falla de corte', 1</v>
      </c>
      <c r="I34" s="9"/>
    </row>
    <row r="35" spans="1:9" s="8" customFormat="1" ht="12" x14ac:dyDescent="0.25">
      <c r="A35" s="16"/>
      <c r="B35" s="17">
        <v>0</v>
      </c>
      <c r="C35" s="17">
        <v>0</v>
      </c>
      <c r="D35" s="21">
        <v>33</v>
      </c>
      <c r="E35" s="18" t="s">
        <v>220</v>
      </c>
      <c r="F35" s="20">
        <v>1</v>
      </c>
      <c r="H35" s="19" t="str">
        <f>CONCATENATE(CI_MOTIVO!$K$1,D35,",'",E35,"', ",F35,"")</f>
        <v>EXECUTE [dbo].[PG_CI_MOTIVO_ORDEN_TRABAJO] 0, 0, 33,'Falla de costura', 1</v>
      </c>
      <c r="I35" s="9"/>
    </row>
    <row r="36" spans="1:9" s="8" customFormat="1" ht="12" x14ac:dyDescent="0.25">
      <c r="A36" s="16"/>
      <c r="B36" s="17">
        <v>0</v>
      </c>
      <c r="C36" s="17">
        <v>0</v>
      </c>
      <c r="D36" s="21">
        <v>34</v>
      </c>
      <c r="E36" s="18" t="s">
        <v>221</v>
      </c>
      <c r="F36" s="20">
        <v>1</v>
      </c>
      <c r="H36" s="19" t="str">
        <f>CONCATENATE(CI_MOTIVO!$K$1,D36,",'",E36,"', ",F36,"")</f>
        <v>EXECUTE [dbo].[PG_CI_MOTIVO_ORDEN_TRABAJO] 0, 0, 34,'Falla de fusible', 1</v>
      </c>
      <c r="I36" s="9"/>
    </row>
    <row r="37" spans="1:9" s="8" customFormat="1" ht="12" x14ac:dyDescent="0.25">
      <c r="A37" s="16"/>
      <c r="B37" s="17">
        <v>0</v>
      </c>
      <c r="C37" s="17">
        <v>0</v>
      </c>
      <c r="D37" s="21">
        <v>35</v>
      </c>
      <c r="E37" s="18" t="s">
        <v>222</v>
      </c>
      <c r="F37" s="20">
        <v>1</v>
      </c>
      <c r="H37" s="19" t="str">
        <f>CONCATENATE(CI_MOTIVO!$K$1,D37,",'",E37,"', ",F37,"")</f>
        <v>EXECUTE [dbo].[PG_CI_MOTIVO_ORDEN_TRABAJO] 0, 0, 35,'Falla de lampara', 1</v>
      </c>
      <c r="I37" s="9"/>
    </row>
    <row r="38" spans="1:9" s="8" customFormat="1" ht="12" x14ac:dyDescent="0.25">
      <c r="A38" s="16"/>
      <c r="B38" s="17">
        <v>0</v>
      </c>
      <c r="C38" s="17">
        <v>0</v>
      </c>
      <c r="D38" s="21">
        <v>36</v>
      </c>
      <c r="E38" s="18" t="s">
        <v>272</v>
      </c>
      <c r="F38" s="20">
        <v>1</v>
      </c>
      <c r="H38" s="19" t="str">
        <f>CONCATENATE(CI_MOTIVO!$K$1,D38,",'",E38,"', ",F38,"")</f>
        <v>EXECUTE [dbo].[PG_CI_MOTIVO_ORDEN_TRABAJO] 0, 0, 36,'Falla de máquina', 1</v>
      </c>
      <c r="I38" s="9"/>
    </row>
    <row r="39" spans="1:9" s="8" customFormat="1" ht="12" x14ac:dyDescent="0.25">
      <c r="A39" s="16"/>
      <c r="B39" s="17">
        <v>0</v>
      </c>
      <c r="C39" s="17">
        <v>0</v>
      </c>
      <c r="D39" s="21">
        <v>37</v>
      </c>
      <c r="E39" s="18" t="s">
        <v>223</v>
      </c>
      <c r="F39" s="20">
        <v>1</v>
      </c>
      <c r="H39" s="19" t="str">
        <f>CONCATENATE(CI_MOTIVO!$K$1,D39,",'",E39,"', ",F39,"")</f>
        <v>EXECUTE [dbo].[PG_CI_MOTIVO_ORDEN_TRABAJO] 0, 0, 37,'Falla de polea', 1</v>
      </c>
      <c r="I39" s="9"/>
    </row>
    <row r="40" spans="1:9" s="8" customFormat="1" ht="12" x14ac:dyDescent="0.25">
      <c r="A40" s="16"/>
      <c r="B40" s="17">
        <v>0</v>
      </c>
      <c r="C40" s="17">
        <v>0</v>
      </c>
      <c r="D40" s="21">
        <v>38</v>
      </c>
      <c r="E40" s="18" t="s">
        <v>224</v>
      </c>
      <c r="F40" s="20">
        <v>1</v>
      </c>
      <c r="H40" s="19" t="str">
        <f>CONCATENATE(CI_MOTIVO!$K$1,D40,",'",E40,"', ",F40,"")</f>
        <v>EXECUTE [dbo].[PG_CI_MOTIVO_ORDEN_TRABAJO] 0, 0, 38,'Falla de prensa', 1</v>
      </c>
      <c r="I40" s="9"/>
    </row>
    <row r="41" spans="1:9" s="8" customFormat="1" ht="12" x14ac:dyDescent="0.25">
      <c r="A41" s="16"/>
      <c r="B41" s="17">
        <v>0</v>
      </c>
      <c r="C41" s="17">
        <v>0</v>
      </c>
      <c r="D41" s="21">
        <v>39</v>
      </c>
      <c r="E41" s="18" t="s">
        <v>225</v>
      </c>
      <c r="F41" s="20">
        <v>1</v>
      </c>
      <c r="H41" s="19" t="str">
        <f>CONCATENATE(CI_MOTIVO!$K$1,D41,",'",E41,"', ",F41,"")</f>
        <v>EXECUTE [dbo].[PG_CI_MOTIVO_ORDEN_TRABAJO] 0, 0, 39,'Falla de rebajadora', 1</v>
      </c>
      <c r="I41" s="9"/>
    </row>
    <row r="42" spans="1:9" s="8" customFormat="1" ht="12" x14ac:dyDescent="0.25">
      <c r="A42" s="16"/>
      <c r="B42" s="17">
        <v>0</v>
      </c>
      <c r="C42" s="17">
        <v>0</v>
      </c>
      <c r="D42" s="21">
        <v>40</v>
      </c>
      <c r="E42" s="18" t="s">
        <v>226</v>
      </c>
      <c r="F42" s="20">
        <v>1</v>
      </c>
      <c r="H42" s="19" t="str">
        <f>CONCATENATE(CI_MOTIVO!$K$1,D42,",'",E42,"', ",F42,"")</f>
        <v>EXECUTE [dbo].[PG_CI_MOTIVO_ORDEN_TRABAJO] 0, 0, 40,'Falla de sello', 1</v>
      </c>
      <c r="I42" s="9"/>
    </row>
    <row r="43" spans="1:9" s="8" customFormat="1" ht="12" x14ac:dyDescent="0.25">
      <c r="A43" s="16"/>
      <c r="B43" s="17">
        <v>0</v>
      </c>
      <c r="C43" s="17">
        <v>0</v>
      </c>
      <c r="D43" s="21">
        <v>41</v>
      </c>
      <c r="E43" s="18" t="s">
        <v>227</v>
      </c>
      <c r="F43" s="20">
        <v>1</v>
      </c>
      <c r="H43" s="19" t="str">
        <f>CONCATENATE(CI_MOTIVO!$K$1,D43,",'",E43,"', ",F43,"")</f>
        <v>EXECUTE [dbo].[PG_CI_MOTIVO_ORDEN_TRABAJO] 0, 0, 41,'Falla de sensor', 1</v>
      </c>
      <c r="I43" s="9"/>
    </row>
    <row r="44" spans="1:9" s="8" customFormat="1" ht="12" x14ac:dyDescent="0.25">
      <c r="A44" s="16"/>
      <c r="B44" s="17">
        <v>0</v>
      </c>
      <c r="C44" s="17">
        <v>0</v>
      </c>
      <c r="D44" s="21">
        <v>42</v>
      </c>
      <c r="E44" s="18" t="s">
        <v>228</v>
      </c>
      <c r="F44" s="20">
        <v>1</v>
      </c>
      <c r="H44" s="19" t="str">
        <f>CONCATENATE(CI_MOTIVO!$K$1,D44,",'",E44,"', ",F44,"")</f>
        <v>EXECUTE [dbo].[PG_CI_MOTIVO_ORDEN_TRABAJO] 0, 0, 42,'Falla de tabla', 1</v>
      </c>
      <c r="I44" s="9"/>
    </row>
    <row r="45" spans="1:9" s="8" customFormat="1" ht="12" x14ac:dyDescent="0.25">
      <c r="A45" s="16"/>
      <c r="B45" s="17">
        <v>0</v>
      </c>
      <c r="C45" s="17">
        <v>0</v>
      </c>
      <c r="D45" s="21">
        <v>43</v>
      </c>
      <c r="E45" s="18" t="s">
        <v>229</v>
      </c>
      <c r="F45" s="20">
        <v>1</v>
      </c>
      <c r="H45" s="19" t="str">
        <f>CONCATENATE(CI_MOTIVO!$K$1,D45,",'",E45,"', ",F45,"")</f>
        <v>EXECUTE [dbo].[PG_CI_MOTIVO_ORDEN_TRABAJO] 0, 0, 43,'Falla de zinc', 1</v>
      </c>
      <c r="I45" s="9"/>
    </row>
    <row r="46" spans="1:9" s="8" customFormat="1" ht="12" x14ac:dyDescent="0.25">
      <c r="A46" s="16"/>
      <c r="B46" s="17">
        <v>0</v>
      </c>
      <c r="C46" s="17">
        <v>0</v>
      </c>
      <c r="D46" s="21">
        <v>44</v>
      </c>
      <c r="E46" s="18" t="s">
        <v>273</v>
      </c>
      <c r="F46" s="20">
        <v>1</v>
      </c>
      <c r="H46" s="19" t="str">
        <f>CONCATENATE(CI_MOTIVO!$K$1,D46,",'",E46,"', ",F46,"")</f>
        <v>EXECUTE [dbo].[PG_CI_MOTIVO_ORDEN_TRABAJO] 0, 0, 44,'Falla eléctrica', 1</v>
      </c>
      <c r="I46" s="9"/>
    </row>
    <row r="47" spans="1:9" s="8" customFormat="1" ht="12" x14ac:dyDescent="0.25">
      <c r="A47" s="16"/>
      <c r="B47" s="17">
        <v>0</v>
      </c>
      <c r="C47" s="17">
        <v>0</v>
      </c>
      <c r="D47" s="21">
        <v>45</v>
      </c>
      <c r="E47" s="18" t="s">
        <v>274</v>
      </c>
      <c r="F47" s="20">
        <v>1</v>
      </c>
      <c r="H47" s="19" t="str">
        <f>CONCATENATE(CI_MOTIVO!$K$1,D47,",'",E47,"', ",F47,"")</f>
        <v>EXECUTE [dbo].[PG_CI_MOTIVO_ORDEN_TRABAJO] 0, 0, 45,'Filo dañado', 1</v>
      </c>
      <c r="I47" s="9"/>
    </row>
    <row r="48" spans="1:9" s="8" customFormat="1" ht="12" x14ac:dyDescent="0.25">
      <c r="A48" s="16"/>
      <c r="B48" s="17">
        <v>0</v>
      </c>
      <c r="C48" s="17">
        <v>0</v>
      </c>
      <c r="D48" s="21">
        <v>46</v>
      </c>
      <c r="E48" s="18" t="s">
        <v>230</v>
      </c>
      <c r="F48" s="20">
        <v>1</v>
      </c>
      <c r="H48" s="19" t="str">
        <f>CONCATENATE(CI_MOTIVO!$K$1,D48,",'",E48,"', ",F48,"")</f>
        <v>EXECUTE [dbo].[PG_CI_MOTIVO_ORDEN_TRABAJO] 0, 0, 46,'Foco fundido', 1</v>
      </c>
      <c r="I48" s="9"/>
    </row>
    <row r="49" spans="1:9" s="8" customFormat="1" ht="12" x14ac:dyDescent="0.25">
      <c r="A49" s="16"/>
      <c r="B49" s="17">
        <v>0</v>
      </c>
      <c r="C49" s="17">
        <v>0</v>
      </c>
      <c r="D49" s="21">
        <v>47</v>
      </c>
      <c r="E49" s="18" t="s">
        <v>231</v>
      </c>
      <c r="F49" s="20">
        <v>1</v>
      </c>
      <c r="H49" s="19" t="str">
        <f>CONCATENATE(CI_MOTIVO!$K$1,D49,",'",E49,"', ",F49,"")</f>
        <v>EXECUTE [dbo].[PG_CI_MOTIVO_ORDEN_TRABAJO] 0, 0, 47,'Fuga de aceite', 1</v>
      </c>
      <c r="I49" s="9"/>
    </row>
    <row r="50" spans="1:9" s="8" customFormat="1" ht="12" x14ac:dyDescent="0.25">
      <c r="A50" s="16"/>
      <c r="B50" s="17">
        <v>0</v>
      </c>
      <c r="C50" s="17">
        <v>0</v>
      </c>
      <c r="D50" s="21">
        <v>48</v>
      </c>
      <c r="E50" s="18" t="s">
        <v>275</v>
      </c>
      <c r="F50" s="20">
        <v>1</v>
      </c>
      <c r="H50" s="19" t="str">
        <f>CONCATENATE(CI_MOTIVO!$K$1,D50,",'",E50,"', ",F50,"")</f>
        <v>EXECUTE [dbo].[PG_CI_MOTIVO_ORDEN_TRABAJO] 0, 0, 48,'Guarda caída', 1</v>
      </c>
      <c r="I50" s="9"/>
    </row>
    <row r="51" spans="1:9" s="8" customFormat="1" ht="12" x14ac:dyDescent="0.25">
      <c r="A51" s="16"/>
      <c r="B51" s="17">
        <v>0</v>
      </c>
      <c r="C51" s="17">
        <v>0</v>
      </c>
      <c r="D51" s="21">
        <v>49</v>
      </c>
      <c r="E51" s="18" t="s">
        <v>276</v>
      </c>
      <c r="F51" s="20">
        <v>1</v>
      </c>
      <c r="H51" s="19" t="str">
        <f>CONCATENATE(CI_MOTIVO!$K$1,D51,",'",E51,"', ",F51,"")</f>
        <v>EXECUTE [dbo].[PG_CI_MOTIVO_ORDEN_TRABAJO] 0, 0, 49,'Guarda dañada', 1</v>
      </c>
      <c r="I51" s="9"/>
    </row>
    <row r="52" spans="1:9" s="8" customFormat="1" ht="12" x14ac:dyDescent="0.25">
      <c r="A52" s="16"/>
      <c r="B52" s="17">
        <v>0</v>
      </c>
      <c r="C52" s="17">
        <v>0</v>
      </c>
      <c r="D52" s="21">
        <v>50</v>
      </c>
      <c r="E52" s="18" t="s">
        <v>232</v>
      </c>
      <c r="F52" s="20">
        <v>1</v>
      </c>
      <c r="H52" s="19" t="str">
        <f>CONCATENATE(CI_MOTIVO!$K$1,D52,",'",E52,"', ",F52,"")</f>
        <v>EXECUTE [dbo].[PG_CI_MOTIVO_ORDEN_TRABAJO] 0, 0, 50,'Humo en calentones', 1</v>
      </c>
      <c r="I52" s="9"/>
    </row>
    <row r="53" spans="1:9" s="8" customFormat="1" ht="12" x14ac:dyDescent="0.25">
      <c r="A53" s="16"/>
      <c r="B53" s="17">
        <v>0</v>
      </c>
      <c r="C53" s="17">
        <v>0</v>
      </c>
      <c r="D53" s="21">
        <v>51</v>
      </c>
      <c r="E53" s="18" t="s">
        <v>277</v>
      </c>
      <c r="F53" s="20">
        <v>1</v>
      </c>
      <c r="H53" s="19" t="str">
        <f>CONCATENATE(CI_MOTIVO!$K$1,D53,",'",E53,"', ",F53,"")</f>
        <v>EXECUTE [dbo].[PG_CI_MOTIVO_ORDEN_TRABAJO] 0, 0, 51,'Intalación eléctrica', 1</v>
      </c>
      <c r="I53" s="9"/>
    </row>
    <row r="54" spans="1:9" s="8" customFormat="1" ht="12" x14ac:dyDescent="0.25">
      <c r="A54" s="16"/>
      <c r="B54" s="17">
        <v>0</v>
      </c>
      <c r="C54" s="17">
        <v>0</v>
      </c>
      <c r="D54" s="21">
        <v>52</v>
      </c>
      <c r="E54" s="18" t="s">
        <v>233</v>
      </c>
      <c r="F54" s="20">
        <v>1</v>
      </c>
      <c r="H54" s="19" t="str">
        <f>CONCATENATE(CI_MOTIVO!$K$1,D54,",'",E54,"', ",F54,"")</f>
        <v>EXECUTE [dbo].[PG_CI_MOTIVO_ORDEN_TRABAJO] 0, 0, 52,'Lampara fundida', 1</v>
      </c>
      <c r="I54" s="9"/>
    </row>
    <row r="55" spans="1:9" s="8" customFormat="1" ht="12" x14ac:dyDescent="0.25">
      <c r="A55" s="16"/>
      <c r="B55" s="17">
        <v>0</v>
      </c>
      <c r="C55" s="17">
        <v>0</v>
      </c>
      <c r="D55" s="21">
        <v>53</v>
      </c>
      <c r="E55" s="18" t="s">
        <v>278</v>
      </c>
      <c r="F55" s="20">
        <v>1</v>
      </c>
      <c r="H55" s="19" t="str">
        <f>CONCATENATE(CI_MOTIVO!$K$1,D55,",'",E55,"', ",F55,"")</f>
        <v>EXECUTE [dbo].[PG_CI_MOTIVO_ORDEN_TRABAJO] 0, 0, 53,'Manometro dañado', 1</v>
      </c>
      <c r="I55" s="9"/>
    </row>
    <row r="56" spans="1:9" s="8" customFormat="1" ht="12" x14ac:dyDescent="0.25">
      <c r="A56" s="16"/>
      <c r="B56" s="17">
        <v>0</v>
      </c>
      <c r="C56" s="17">
        <v>0</v>
      </c>
      <c r="D56" s="21">
        <v>54</v>
      </c>
      <c r="E56" s="18" t="s">
        <v>279</v>
      </c>
      <c r="F56" s="20">
        <v>1</v>
      </c>
      <c r="H56" s="19" t="str">
        <f>CONCATENATE(CI_MOTIVO!$K$1,D56,",'",E56,"', ",F56,"")</f>
        <v>EXECUTE [dbo].[PG_CI_MOTIVO_ORDEN_TRABAJO] 0, 0, 54,'Máquina lenta', 1</v>
      </c>
      <c r="I56" s="9"/>
    </row>
    <row r="57" spans="1:9" s="8" customFormat="1" ht="12" x14ac:dyDescent="0.25">
      <c r="A57" s="16"/>
      <c r="B57" s="17">
        <v>0</v>
      </c>
      <c r="C57" s="17">
        <v>0</v>
      </c>
      <c r="D57" s="21">
        <v>55</v>
      </c>
      <c r="E57" s="18" t="s">
        <v>234</v>
      </c>
      <c r="F57" s="20">
        <v>1</v>
      </c>
      <c r="H57" s="19" t="str">
        <f>CONCATENATE(CI_MOTIVO!$K$1,D57,",'",E57,"', ",F57,"")</f>
        <v>EXECUTE [dbo].[PG_CI_MOTIVO_ORDEN_TRABAJO] 0, 0, 55,'Mejora de Zinc', 1</v>
      </c>
      <c r="I57" s="9"/>
    </row>
    <row r="58" spans="1:9" s="8" customFormat="1" ht="12" x14ac:dyDescent="0.25">
      <c r="A58" s="16"/>
      <c r="B58" s="17">
        <v>0</v>
      </c>
      <c r="C58" s="17">
        <v>0</v>
      </c>
      <c r="D58" s="21">
        <v>56</v>
      </c>
      <c r="E58" s="18" t="s">
        <v>235</v>
      </c>
      <c r="F58" s="20">
        <v>1</v>
      </c>
      <c r="H58" s="19" t="str">
        <f>CONCATENATE(CI_MOTIVO!$K$1,D58,",'",E58,"', ",F58,"")</f>
        <v>EXECUTE [dbo].[PG_CI_MOTIVO_ORDEN_TRABAJO] 0, 0, 56,'Mesa quebrada', 1</v>
      </c>
      <c r="I58" s="9"/>
    </row>
    <row r="59" spans="1:9" s="8" customFormat="1" ht="12" x14ac:dyDescent="0.25">
      <c r="A59" s="16"/>
      <c r="B59" s="17">
        <v>0</v>
      </c>
      <c r="C59" s="17">
        <v>0</v>
      </c>
      <c r="D59" s="21">
        <v>57</v>
      </c>
      <c r="E59" s="18" t="s">
        <v>236</v>
      </c>
      <c r="F59" s="20">
        <v>1</v>
      </c>
      <c r="H59" s="19" t="str">
        <f>CONCATENATE(CI_MOTIVO!$K$1,D59,",'",E59,"', ",F59,"")</f>
        <v>EXECUTE [dbo].[PG_CI_MOTIVO_ORDEN_TRABAJO] 0, 0, 57,'Minisplit no enfria', 1</v>
      </c>
      <c r="I59" s="9"/>
    </row>
    <row r="60" spans="1:9" s="8" customFormat="1" ht="12" x14ac:dyDescent="0.25">
      <c r="A60" s="16"/>
      <c r="B60" s="17">
        <v>0</v>
      </c>
      <c r="C60" s="17">
        <v>0</v>
      </c>
      <c r="D60" s="21">
        <v>58</v>
      </c>
      <c r="E60" s="18" t="s">
        <v>280</v>
      </c>
      <c r="F60" s="20">
        <v>1</v>
      </c>
      <c r="H60" s="19" t="str">
        <f>CONCATENATE(CI_MOTIVO!$K$1,D60,",'",E60,"', ",F60,"")</f>
        <v>EXECUTE [dbo].[PG_CI_MOTIVO_ORDEN_TRABAJO] 0, 0, 58,'Motor dañado', 1</v>
      </c>
      <c r="I60" s="9"/>
    </row>
    <row r="61" spans="1:9" s="8" customFormat="1" ht="12" x14ac:dyDescent="0.25">
      <c r="A61" s="16"/>
      <c r="B61" s="17">
        <v>0</v>
      </c>
      <c r="C61" s="17">
        <v>0</v>
      </c>
      <c r="D61" s="21">
        <v>59</v>
      </c>
      <c r="E61" s="18" t="s">
        <v>283</v>
      </c>
      <c r="F61" s="20">
        <v>1</v>
      </c>
      <c r="H61" s="19" t="str">
        <f>CONCATENATE(CI_MOTIVO!$K$1,D61,",'",E61,"', ",F61,"")</f>
        <v>EXECUTE [dbo].[PG_CI_MOTIVO_ORDEN_TRABAJO] 0, 0, 59,'Navaja dañada', 1</v>
      </c>
      <c r="I61" s="9"/>
    </row>
    <row r="62" spans="1:9" s="8" customFormat="1" ht="12" x14ac:dyDescent="0.25">
      <c r="A62" s="16"/>
      <c r="B62" s="17">
        <v>0</v>
      </c>
      <c r="C62" s="17">
        <v>0</v>
      </c>
      <c r="D62" s="21">
        <v>60</v>
      </c>
      <c r="E62" s="18" t="s">
        <v>237</v>
      </c>
      <c r="F62" s="20">
        <v>1</v>
      </c>
      <c r="H62" s="19" t="str">
        <f>CONCATENATE(CI_MOTIVO!$K$1,D62,",'",E62,"', ",F62,"")</f>
        <v>EXECUTE [dbo].[PG_CI_MOTIVO_ORDEN_TRABAJO] 0, 0, 60,'Navaja terminada', 1</v>
      </c>
      <c r="I62" s="9"/>
    </row>
    <row r="63" spans="1:9" s="8" customFormat="1" ht="12" x14ac:dyDescent="0.25">
      <c r="A63" s="16"/>
      <c r="B63" s="17">
        <v>0</v>
      </c>
      <c r="C63" s="17">
        <v>0</v>
      </c>
      <c r="D63" s="21">
        <v>61</v>
      </c>
      <c r="E63" s="18" t="s">
        <v>238</v>
      </c>
      <c r="F63" s="20">
        <v>1</v>
      </c>
      <c r="H63" s="19" t="str">
        <f>CONCATENATE(CI_MOTIVO!$K$1,D63,",'",E63,"', ",F63,"")</f>
        <v>EXECUTE [dbo].[PG_CI_MOTIVO_ORDEN_TRABAJO] 0, 0, 61,'No corta', 1</v>
      </c>
      <c r="I63" s="9"/>
    </row>
    <row r="64" spans="1:9" s="8" customFormat="1" ht="12" x14ac:dyDescent="0.25">
      <c r="A64" s="16"/>
      <c r="B64" s="17">
        <v>0</v>
      </c>
      <c r="C64" s="17">
        <v>0</v>
      </c>
      <c r="D64" s="21">
        <v>62</v>
      </c>
      <c r="E64" s="18" t="s">
        <v>239</v>
      </c>
      <c r="F64" s="20">
        <v>1</v>
      </c>
      <c r="H64" s="19" t="str">
        <f>CONCATENATE(CI_MOTIVO!$K$1,D64,",'",E64,"', ",F64,"")</f>
        <v>EXECUTE [dbo].[PG_CI_MOTIVO_ORDEN_TRABAJO] 0, 0, 62,'No mete placas', 1</v>
      </c>
      <c r="I64" s="9"/>
    </row>
    <row r="65" spans="1:9" s="8" customFormat="1" ht="12" x14ac:dyDescent="0.25">
      <c r="A65" s="16"/>
      <c r="B65" s="17">
        <v>0</v>
      </c>
      <c r="C65" s="17">
        <v>0</v>
      </c>
      <c r="D65" s="21">
        <v>63</v>
      </c>
      <c r="E65" s="18" t="s">
        <v>240</v>
      </c>
      <c r="F65" s="20">
        <v>1</v>
      </c>
      <c r="H65" s="19" t="str">
        <f>CONCATENATE(CI_MOTIVO!$K$1,D65,",'",E65,"', ",F65,"")</f>
        <v>EXECUTE [dbo].[PG_CI_MOTIVO_ORDEN_TRABAJO] 0, 0, 63,'No prende', 1</v>
      </c>
      <c r="I65" s="9"/>
    </row>
    <row r="66" spans="1:9" s="8" customFormat="1" ht="12" x14ac:dyDescent="0.25">
      <c r="A66" s="16"/>
      <c r="B66" s="17">
        <v>0</v>
      </c>
      <c r="C66" s="17">
        <v>0</v>
      </c>
      <c r="D66" s="21">
        <v>64</v>
      </c>
      <c r="E66" s="18" t="s">
        <v>284</v>
      </c>
      <c r="F66" s="20">
        <v>1</v>
      </c>
      <c r="H66" s="19" t="str">
        <f>CONCATENATE(CI_MOTIVO!$K$1,D66,",'",E66,"', ",F66,"")</f>
        <v>EXECUTE [dbo].[PG_CI_MOTIVO_ORDEN_TRABAJO] 0, 0, 64,'Obstrucción de material', 1</v>
      </c>
      <c r="I66" s="9"/>
    </row>
    <row r="67" spans="1:9" s="8" customFormat="1" ht="12" x14ac:dyDescent="0.25">
      <c r="A67" s="16"/>
      <c r="B67" s="17">
        <v>0</v>
      </c>
      <c r="C67" s="17">
        <v>0</v>
      </c>
      <c r="D67" s="21">
        <v>65</v>
      </c>
      <c r="E67" s="18" t="s">
        <v>285</v>
      </c>
      <c r="F67" s="20">
        <v>1</v>
      </c>
      <c r="H67" s="19" t="str">
        <f>CONCATENATE(CI_MOTIVO!$K$1,D67,",'",E67,"', ",F67,"")</f>
        <v>EXECUTE [dbo].[PG_CI_MOTIVO_ORDEN_TRABAJO] 0, 0, 65,'Palanca dañada', 1</v>
      </c>
      <c r="I67" s="9"/>
    </row>
    <row r="68" spans="1:9" s="8" customFormat="1" ht="12" x14ac:dyDescent="0.25">
      <c r="A68" s="16"/>
      <c r="B68" s="17">
        <v>0</v>
      </c>
      <c r="C68" s="17">
        <v>0</v>
      </c>
      <c r="D68" s="21">
        <v>66</v>
      </c>
      <c r="E68" s="18" t="s">
        <v>241</v>
      </c>
      <c r="F68" s="20">
        <v>1</v>
      </c>
      <c r="H68" s="19" t="str">
        <f>CONCATENATE(CI_MOTIVO!$K$1,D68,",'",E68,"', ",F68,"")</f>
        <v>EXECUTE [dbo].[PG_CI_MOTIVO_ORDEN_TRABAJO] 0, 0, 66,'Partes flojas', 1</v>
      </c>
      <c r="I68" s="9"/>
    </row>
    <row r="69" spans="1:9" s="8" customFormat="1" ht="12" x14ac:dyDescent="0.25">
      <c r="A69" s="16"/>
      <c r="B69" s="17">
        <v>0</v>
      </c>
      <c r="C69" s="17">
        <v>0</v>
      </c>
      <c r="D69" s="21">
        <v>67</v>
      </c>
      <c r="E69" s="18" t="s">
        <v>242</v>
      </c>
      <c r="F69" s="20">
        <v>1</v>
      </c>
      <c r="H69" s="19" t="str">
        <f>CONCATENATE(CI_MOTIVO!$K$1,D69,",'",E69,"', ",F69,"")</f>
        <v>EXECUTE [dbo].[PG_CI_MOTIVO_ORDEN_TRABAJO] 0, 0, 67,'Pieza atorada', 1</v>
      </c>
      <c r="I69" s="9"/>
    </row>
    <row r="70" spans="1:9" s="8" customFormat="1" ht="12" x14ac:dyDescent="0.25">
      <c r="A70" s="16"/>
      <c r="B70" s="17">
        <v>0</v>
      </c>
      <c r="C70" s="17">
        <v>0</v>
      </c>
      <c r="D70" s="21">
        <v>68</v>
      </c>
      <c r="E70" s="18" t="s">
        <v>243</v>
      </c>
      <c r="F70" s="20">
        <v>1</v>
      </c>
      <c r="H70" s="19" t="str">
        <f>CONCATENATE(CI_MOTIVO!$K$1,D70,",'",E70,"', ",F70,"")</f>
        <v>EXECUTE [dbo].[PG_CI_MOTIVO_ORDEN_TRABAJO] 0, 0, 68,'Pieza jalada', 1</v>
      </c>
      <c r="I70" s="9"/>
    </row>
    <row r="71" spans="1:9" s="8" customFormat="1" ht="12" x14ac:dyDescent="0.25">
      <c r="A71" s="16"/>
      <c r="B71" s="17">
        <v>0</v>
      </c>
      <c r="C71" s="17">
        <v>0</v>
      </c>
      <c r="D71" s="21">
        <v>69</v>
      </c>
      <c r="E71" s="18" t="s">
        <v>244</v>
      </c>
      <c r="F71" s="20">
        <v>1</v>
      </c>
      <c r="H71" s="19" t="str">
        <f>CONCATENATE(CI_MOTIVO!$K$1,D71,",'",E71,"', ",F71,"")</f>
        <v>EXECUTE [dbo].[PG_CI_MOTIVO_ORDEN_TRABAJO] 0, 0, 69,'Piezas pegadas', 1</v>
      </c>
      <c r="I71" s="9"/>
    </row>
    <row r="72" spans="1:9" s="8" customFormat="1" ht="12" x14ac:dyDescent="0.25">
      <c r="A72" s="16"/>
      <c r="B72" s="17">
        <v>0</v>
      </c>
      <c r="C72" s="17">
        <v>0</v>
      </c>
      <c r="D72" s="21">
        <v>70</v>
      </c>
      <c r="E72" s="18" t="s">
        <v>245</v>
      </c>
      <c r="F72" s="20">
        <v>1</v>
      </c>
      <c r="H72" s="19" t="str">
        <f>CONCATENATE(CI_MOTIVO!$K$1,D72,",'",E72,"', ",F72,"")</f>
        <v>EXECUTE [dbo].[PG_CI_MOTIVO_ORDEN_TRABAJO] 0, 0, 70,'Piezas rayadas', 1</v>
      </c>
      <c r="I72" s="9"/>
    </row>
    <row r="73" spans="1:9" s="8" customFormat="1" ht="12" x14ac:dyDescent="0.25">
      <c r="A73" s="16"/>
      <c r="B73" s="17">
        <v>0</v>
      </c>
      <c r="C73" s="17">
        <v>0</v>
      </c>
      <c r="D73" s="21">
        <v>71</v>
      </c>
      <c r="E73" s="18" t="s">
        <v>286</v>
      </c>
      <c r="F73" s="20">
        <v>1</v>
      </c>
      <c r="H73" s="19" t="str">
        <f>CONCATENATE(CI_MOTIVO!$K$1,D73,",'",E73,"', ",F73,"")</f>
        <v>EXECUTE [dbo].[PG_CI_MOTIVO_ORDEN_TRABAJO] 0, 0, 71,'Plafón dañado', 1</v>
      </c>
      <c r="I73" s="9"/>
    </row>
    <row r="74" spans="1:9" s="8" customFormat="1" ht="12" x14ac:dyDescent="0.25">
      <c r="A74" s="16"/>
      <c r="B74" s="17">
        <v>0</v>
      </c>
      <c r="C74" s="17">
        <v>0</v>
      </c>
      <c r="D74" s="21">
        <v>72</v>
      </c>
      <c r="E74" s="18" t="s">
        <v>246</v>
      </c>
      <c r="F74" s="20">
        <v>1</v>
      </c>
      <c r="H74" s="19" t="str">
        <f>CONCATENATE(CI_MOTIVO!$K$1,D74,",'",E74,"', ",F74,"")</f>
        <v>EXECUTE [dbo].[PG_CI_MOTIVO_ORDEN_TRABAJO] 0, 0, 72,'PM', 1</v>
      </c>
      <c r="I74" s="9"/>
    </row>
    <row r="75" spans="1:9" s="8" customFormat="1" ht="12" x14ac:dyDescent="0.25">
      <c r="A75" s="16"/>
      <c r="B75" s="17">
        <v>0</v>
      </c>
      <c r="C75" s="17">
        <v>0</v>
      </c>
      <c r="D75" s="21">
        <v>73</v>
      </c>
      <c r="E75" s="18" t="s">
        <v>287</v>
      </c>
      <c r="F75" s="20">
        <v>1</v>
      </c>
      <c r="H75" s="19" t="str">
        <f>CONCATENATE(CI_MOTIVO!$K$1,D75,",'",E75,"', ",F75,"")</f>
        <v>EXECUTE [dbo].[PG_CI_MOTIVO_ORDEN_TRABAJO] 0, 0, 73,'Puerta dañada', 1</v>
      </c>
      <c r="I75" s="9"/>
    </row>
    <row r="76" spans="1:9" s="8" customFormat="1" ht="12" x14ac:dyDescent="0.25">
      <c r="A76" s="16"/>
      <c r="B76" s="17">
        <v>0</v>
      </c>
      <c r="C76" s="17">
        <v>0</v>
      </c>
      <c r="D76" s="21">
        <v>74</v>
      </c>
      <c r="E76" s="18" t="s">
        <v>247</v>
      </c>
      <c r="F76" s="20">
        <v>1</v>
      </c>
      <c r="H76" s="19" t="str">
        <f>CONCATENATE(CI_MOTIVO!$K$1,D76,",'",E76,"', ",F76,"")</f>
        <v>EXECUTE [dbo].[PG_CI_MOTIVO_ORDEN_TRABAJO] 0, 0, 74,'Puerta floja', 1</v>
      </c>
      <c r="I76" s="9"/>
    </row>
    <row r="77" spans="1:9" s="8" customFormat="1" ht="12" x14ac:dyDescent="0.25">
      <c r="A77" s="16"/>
      <c r="B77" s="17">
        <v>0</v>
      </c>
      <c r="C77" s="17">
        <v>0</v>
      </c>
      <c r="D77" s="21">
        <v>75</v>
      </c>
      <c r="E77" s="18" t="s">
        <v>248</v>
      </c>
      <c r="F77" s="20">
        <v>1</v>
      </c>
      <c r="H77" s="19" t="str">
        <f>CONCATENATE(CI_MOTIVO!$K$1,D77,",'",E77,"', ",F77,"")</f>
        <v>EXECUTE [dbo].[PG_CI_MOTIVO_ORDEN_TRABAJO] 0, 0, 75,'Rectificado', 1</v>
      </c>
      <c r="I77" s="9"/>
    </row>
    <row r="78" spans="1:9" s="8" customFormat="1" ht="12" x14ac:dyDescent="0.25">
      <c r="A78" s="16"/>
      <c r="B78" s="17">
        <v>0</v>
      </c>
      <c r="C78" s="17">
        <v>0</v>
      </c>
      <c r="D78" s="21">
        <v>76</v>
      </c>
      <c r="E78" s="18" t="s">
        <v>288</v>
      </c>
      <c r="F78" s="20">
        <v>1</v>
      </c>
      <c r="H78" s="19" t="str">
        <f>CONCATENATE(CI_MOTIVO!$K$1,D78,",'",E78,"', ",F78,"")</f>
        <v>EXECUTE [dbo].[PG_CI_MOTIVO_ORDEN_TRABAJO] 0, 0, 76,'Reparación de evaporativos', 1</v>
      </c>
      <c r="I78" s="9"/>
    </row>
    <row r="79" spans="1:9" s="8" customFormat="1" ht="12" x14ac:dyDescent="0.25">
      <c r="A79" s="16"/>
      <c r="B79" s="17">
        <v>0</v>
      </c>
      <c r="C79" s="17">
        <v>0</v>
      </c>
      <c r="D79" s="21">
        <v>77</v>
      </c>
      <c r="E79" s="18" t="s">
        <v>249</v>
      </c>
      <c r="F79" s="20">
        <v>1</v>
      </c>
      <c r="H79" s="19" t="str">
        <f>CONCATENATE(CI_MOTIVO!$K$1,D79,",'",E79,"', ",F79,"")</f>
        <v>EXECUTE [dbo].[PG_CI_MOTIVO_ORDEN_TRABAJO] 0, 0, 77,'Resetear contador', 1</v>
      </c>
      <c r="I79" s="9"/>
    </row>
    <row r="80" spans="1:9" s="8" customFormat="1" ht="12" x14ac:dyDescent="0.25">
      <c r="A80" s="16"/>
      <c r="B80" s="17">
        <v>0</v>
      </c>
      <c r="C80" s="17">
        <v>0</v>
      </c>
      <c r="D80" s="21">
        <v>78</v>
      </c>
      <c r="E80" s="18" t="s">
        <v>250</v>
      </c>
      <c r="F80" s="20">
        <v>1</v>
      </c>
      <c r="H80" s="19" t="str">
        <f>CONCATENATE(CI_MOTIVO!$K$1,D80,",'",E80,"', ",F80,"")</f>
        <v>EXECUTE [dbo].[PG_CI_MOTIVO_ORDEN_TRABAJO] 0, 0, 78,'Rollo de papel', 1</v>
      </c>
      <c r="I80" s="9"/>
    </row>
    <row r="81" spans="1:9" s="8" customFormat="1" ht="12" x14ac:dyDescent="0.25">
      <c r="A81" s="16"/>
      <c r="B81" s="17">
        <v>0</v>
      </c>
      <c r="C81" s="17">
        <v>0</v>
      </c>
      <c r="D81" s="21">
        <v>79</v>
      </c>
      <c r="E81" s="18" t="s">
        <v>251</v>
      </c>
      <c r="F81" s="20">
        <v>1</v>
      </c>
      <c r="H81" s="19" t="str">
        <f>CONCATENATE(CI_MOTIVO!$K$1,D81,",'",E81,"', ",F81,"")</f>
        <v>EXECUTE [dbo].[PG_CI_MOTIVO_ORDEN_TRABAJO] 0, 0, 79,'Ruido', 1</v>
      </c>
      <c r="I81" s="9"/>
    </row>
    <row r="82" spans="1:9" s="8" customFormat="1" ht="12" x14ac:dyDescent="0.25">
      <c r="A82" s="16"/>
      <c r="B82" s="17">
        <v>0</v>
      </c>
      <c r="C82" s="17">
        <v>0</v>
      </c>
      <c r="D82" s="21">
        <v>80</v>
      </c>
      <c r="E82" s="18" t="s">
        <v>291</v>
      </c>
      <c r="F82" s="20">
        <v>1</v>
      </c>
      <c r="H82" s="19" t="str">
        <f>CONCATENATE(CI_MOTIVO!$K$1,D82,",'",E82,"', ",F82,"")</f>
        <v>EXECUTE [dbo].[PG_CI_MOTIVO_ORDEN_TRABAJO] 0, 0, 80,'Sello dañado', 1</v>
      </c>
      <c r="I82" s="9"/>
    </row>
    <row r="83" spans="1:9" s="8" customFormat="1" ht="12" x14ac:dyDescent="0.25">
      <c r="A83" s="16"/>
      <c r="B83" s="17">
        <v>0</v>
      </c>
      <c r="C83" s="17">
        <v>0</v>
      </c>
      <c r="D83" s="21">
        <v>81</v>
      </c>
      <c r="E83" s="18" t="s">
        <v>252</v>
      </c>
      <c r="F83" s="20">
        <v>1</v>
      </c>
      <c r="H83" s="19" t="str">
        <f>CONCATENATE(CI_MOTIVO!$K$1,D83,",'",E83,"', ",F83,"")</f>
        <v>EXECUTE [dbo].[PG_CI_MOTIVO_ORDEN_TRABAJO] 0, 0, 81,'Sello despegado', 1</v>
      </c>
      <c r="I83" s="9"/>
    </row>
    <row r="84" spans="1:9" s="8" customFormat="1" ht="12" x14ac:dyDescent="0.25">
      <c r="A84" s="16"/>
      <c r="B84" s="17">
        <v>0</v>
      </c>
      <c r="C84" s="17">
        <v>0</v>
      </c>
      <c r="D84" s="21">
        <v>82</v>
      </c>
      <c r="E84" s="18" t="s">
        <v>253</v>
      </c>
      <c r="F84" s="20">
        <v>1</v>
      </c>
      <c r="H84" s="19" t="str">
        <f>CONCATENATE(CI_MOTIVO!$K$1,D84,",'",E84,"', ",F84,"")</f>
        <v>EXECUTE [dbo].[PG_CI_MOTIVO_ORDEN_TRABAJO] 0, 0, 82,'Sensor no funciona', 1</v>
      </c>
      <c r="I84" s="9"/>
    </row>
    <row r="85" spans="1:9" s="8" customFormat="1" ht="12" x14ac:dyDescent="0.25">
      <c r="A85" s="16"/>
      <c r="B85" s="17">
        <v>0</v>
      </c>
      <c r="C85" s="17">
        <v>0</v>
      </c>
      <c r="D85" s="21">
        <v>83</v>
      </c>
      <c r="E85" s="18" t="s">
        <v>254</v>
      </c>
      <c r="F85" s="20">
        <v>1</v>
      </c>
      <c r="H85" s="19" t="str">
        <f>CONCATENATE(CI_MOTIVO!$K$1,D85,",'",E85,"', ",F85,"")</f>
        <v>EXECUTE [dbo].[PG_CI_MOTIVO_ORDEN_TRABAJO] 0, 0, 83,'Sensor obstruido', 1</v>
      </c>
      <c r="I85" s="9"/>
    </row>
    <row r="86" spans="1:9" s="8" customFormat="1" ht="12" x14ac:dyDescent="0.25">
      <c r="A86" s="16"/>
      <c r="B86" s="17">
        <v>0</v>
      </c>
      <c r="C86" s="17">
        <v>0</v>
      </c>
      <c r="D86" s="21">
        <v>84</v>
      </c>
      <c r="E86" s="18" t="s">
        <v>255</v>
      </c>
      <c r="F86" s="20">
        <v>1</v>
      </c>
      <c r="H86" s="19" t="str">
        <f>CONCATENATE(CI_MOTIVO!$K$1,D86,",'",E86,"', ",F86,"")</f>
        <v>EXECUTE [dbo].[PG_CI_MOTIVO_ORDEN_TRABAJO] 0, 0, 84,'Sensor sucio', 1</v>
      </c>
      <c r="I86" s="9"/>
    </row>
    <row r="87" spans="1:9" s="8" customFormat="1" ht="12" x14ac:dyDescent="0.25">
      <c r="A87" s="16"/>
      <c r="B87" s="17">
        <v>0</v>
      </c>
      <c r="C87" s="17">
        <v>0</v>
      </c>
      <c r="D87" s="21">
        <v>85</v>
      </c>
      <c r="E87" s="18" t="s">
        <v>256</v>
      </c>
      <c r="F87" s="20">
        <v>1</v>
      </c>
      <c r="H87" s="19" t="str">
        <f>CONCATENATE(CI_MOTIVO!$K$1,D87,",'",E87,"', ",F87,"")</f>
        <v>EXECUTE [dbo].[PG_CI_MOTIVO_ORDEN_TRABAJO] 0, 0, 85,'Sensor tapado', 1</v>
      </c>
      <c r="I87" s="9"/>
    </row>
    <row r="88" spans="1:9" s="8" customFormat="1" ht="12" x14ac:dyDescent="0.25">
      <c r="A88" s="16"/>
      <c r="B88" s="17">
        <v>0</v>
      </c>
      <c r="C88" s="17">
        <v>0</v>
      </c>
      <c r="D88" s="21">
        <v>86</v>
      </c>
      <c r="E88" s="18" t="s">
        <v>292</v>
      </c>
      <c r="F88" s="20">
        <v>1</v>
      </c>
      <c r="H88" s="19" t="str">
        <f>CONCATENATE(CI_MOTIVO!$K$1,D88,",'",E88,"', ",F88,"")</f>
        <v>EXECUTE [dbo].[PG_CI_MOTIVO_ORDEN_TRABAJO] 0, 0, 86,'Serpentina dañada', 1</v>
      </c>
      <c r="I88" s="9"/>
    </row>
    <row r="89" spans="1:9" s="8" customFormat="1" ht="12" x14ac:dyDescent="0.25">
      <c r="A89" s="16"/>
      <c r="B89" s="17">
        <v>0</v>
      </c>
      <c r="C89" s="17">
        <v>0</v>
      </c>
      <c r="D89" s="21">
        <v>87</v>
      </c>
      <c r="E89" s="18" t="s">
        <v>257</v>
      </c>
      <c r="F89" s="20">
        <v>1</v>
      </c>
      <c r="H89" s="19" t="str">
        <f>CONCATENATE(CI_MOTIVO!$K$1,D89,",'",E89,"', ",F89,"")</f>
        <v>EXECUTE [dbo].[PG_CI_MOTIVO_ORDEN_TRABAJO] 0, 0, 87,'Servicio', 1</v>
      </c>
      <c r="I89" s="9"/>
    </row>
    <row r="90" spans="1:9" s="8" customFormat="1" ht="12" x14ac:dyDescent="0.25">
      <c r="A90" s="16"/>
      <c r="B90" s="17">
        <v>0</v>
      </c>
      <c r="C90" s="17">
        <v>0</v>
      </c>
      <c r="D90" s="21">
        <v>88</v>
      </c>
      <c r="E90" s="18" t="s">
        <v>281</v>
      </c>
      <c r="F90" s="20">
        <v>1</v>
      </c>
      <c r="H90" s="19" t="str">
        <f>CONCATENATE(CI_MOTIVO!$K$1,D90,",'",E90,"', ",F90,"")</f>
        <v>EXECUTE [dbo].[PG_CI_MOTIVO_ORDEN_TRABAJO] 0, 0, 88,'Servomotor activado', 1</v>
      </c>
      <c r="I90" s="9"/>
    </row>
    <row r="91" spans="1:9" s="8" customFormat="1" ht="12" x14ac:dyDescent="0.25">
      <c r="A91" s="16"/>
      <c r="B91" s="17">
        <v>0</v>
      </c>
      <c r="C91" s="17">
        <v>0</v>
      </c>
      <c r="D91" s="21">
        <v>89</v>
      </c>
      <c r="E91" s="18" t="s">
        <v>258</v>
      </c>
      <c r="F91" s="20">
        <v>1</v>
      </c>
      <c r="H91" s="19" t="str">
        <f>CONCATENATE(CI_MOTIVO!$K$1,D91,",'",E91,"', ",F91,"")</f>
        <v>EXECUTE [dbo].[PG_CI_MOTIVO_ORDEN_TRABAJO] 0, 0, 89,'Setup', 1</v>
      </c>
      <c r="I91" s="9"/>
    </row>
    <row r="92" spans="1:9" s="8" customFormat="1" ht="12" x14ac:dyDescent="0.25">
      <c r="A92" s="16"/>
      <c r="B92" s="17">
        <v>0</v>
      </c>
      <c r="C92" s="17">
        <v>0</v>
      </c>
      <c r="D92" s="21">
        <v>90</v>
      </c>
      <c r="E92" s="18" t="s">
        <v>293</v>
      </c>
      <c r="F92" s="20">
        <v>1</v>
      </c>
      <c r="H92" s="19" t="str">
        <f>CONCATENATE(CI_MOTIVO!$K$1,D92,",'",E92,"', ",F92,"")</f>
        <v>EXECUTE [dbo].[PG_CI_MOTIVO_ORDEN_TRABAJO] 0, 0, 90,'Sproket dañados', 1</v>
      </c>
      <c r="I92" s="9"/>
    </row>
    <row r="93" spans="1:9" s="8" customFormat="1" ht="12" x14ac:dyDescent="0.25">
      <c r="A93" s="16"/>
      <c r="B93" s="17">
        <v>0</v>
      </c>
      <c r="C93" s="17">
        <v>0</v>
      </c>
      <c r="D93" s="21">
        <v>91</v>
      </c>
      <c r="E93" s="18" t="s">
        <v>259</v>
      </c>
      <c r="F93" s="20">
        <v>1</v>
      </c>
      <c r="H93" s="19" t="str">
        <f>CONCATENATE(CI_MOTIVO!$K$1,D93,",'",E93,"', ",F93,"")</f>
        <v>EXECUTE [dbo].[PG_CI_MOTIVO_ORDEN_TRABAJO] 0, 0, 91,'Suciedad', 1</v>
      </c>
      <c r="I93" s="9"/>
    </row>
    <row r="94" spans="1:9" s="8" customFormat="1" ht="12" x14ac:dyDescent="0.25">
      <c r="A94" s="16"/>
      <c r="B94" s="17">
        <v>0</v>
      </c>
      <c r="C94" s="17">
        <v>0</v>
      </c>
      <c r="D94" s="21">
        <v>92</v>
      </c>
      <c r="E94" s="18" t="s">
        <v>294</v>
      </c>
      <c r="F94" s="20">
        <v>1</v>
      </c>
      <c r="H94" s="19" t="str">
        <f>CONCATENATE(CI_MOTIVO!$K$1,D94,",'",E94,"', ",F94,"")</f>
        <v>EXECUTE [dbo].[PG_CI_MOTIVO_ORDEN_TRABAJO] 0, 0, 92,'Sujetador dañado', 1</v>
      </c>
      <c r="I94" s="9"/>
    </row>
    <row r="95" spans="1:9" s="8" customFormat="1" ht="12" x14ac:dyDescent="0.25">
      <c r="A95" s="16"/>
      <c r="B95" s="17">
        <v>0</v>
      </c>
      <c r="C95" s="17">
        <v>0</v>
      </c>
      <c r="D95" s="21">
        <v>93</v>
      </c>
      <c r="E95" s="18" t="s">
        <v>260</v>
      </c>
      <c r="F95" s="20">
        <v>1</v>
      </c>
      <c r="H95" s="19" t="str">
        <f>CONCATENATE(CI_MOTIVO!$K$1,D95,",'",E95,"', ",F95,"")</f>
        <v>EXECUTE [dbo].[PG_CI_MOTIVO_ORDEN_TRABAJO] 0, 0, 93,'Tabla atorada', 1</v>
      </c>
      <c r="I95" s="9"/>
    </row>
    <row r="96" spans="1:9" s="8" customFormat="1" ht="12" x14ac:dyDescent="0.25">
      <c r="A96" s="16"/>
      <c r="B96" s="17">
        <v>0</v>
      </c>
      <c r="C96" s="17">
        <v>0</v>
      </c>
      <c r="D96" s="21">
        <v>94</v>
      </c>
      <c r="E96" s="18" t="s">
        <v>295</v>
      </c>
      <c r="F96" s="20">
        <v>1</v>
      </c>
      <c r="H96" s="19" t="str">
        <f>CONCATENATE(CI_MOTIVO!$K$1,D96,",'",E96,"', ",F96,"")</f>
        <v>EXECUTE [dbo].[PG_CI_MOTIVO_ORDEN_TRABAJO] 0, 0, 94,'Tabla dañada', 1</v>
      </c>
      <c r="I96" s="9"/>
    </row>
    <row r="97" spans="1:9" s="8" customFormat="1" ht="12" x14ac:dyDescent="0.25">
      <c r="A97" s="16"/>
      <c r="B97" s="17">
        <v>0</v>
      </c>
      <c r="C97" s="17">
        <v>0</v>
      </c>
      <c r="D97" s="21">
        <v>95</v>
      </c>
      <c r="E97" s="18" t="s">
        <v>261</v>
      </c>
      <c r="F97" s="20">
        <v>1</v>
      </c>
      <c r="H97" s="19" t="str">
        <f>CONCATENATE(CI_MOTIVO!$K$1,D97,",'",E97,"', ",F97,"")</f>
        <v>EXECUTE [dbo].[PG_CI_MOTIVO_ORDEN_TRABAJO] 0, 0, 95,'Tope suelto', 1</v>
      </c>
      <c r="I97" s="9"/>
    </row>
    <row r="98" spans="1:9" s="8" customFormat="1" ht="12" x14ac:dyDescent="0.25">
      <c r="A98" s="16"/>
      <c r="B98" s="17">
        <v>0</v>
      </c>
      <c r="C98" s="17">
        <v>0</v>
      </c>
      <c r="D98" s="21">
        <v>96</v>
      </c>
      <c r="E98" s="18" t="s">
        <v>262</v>
      </c>
      <c r="F98" s="20">
        <v>1</v>
      </c>
      <c r="H98" s="19" t="str">
        <f>CONCATENATE(CI_MOTIVO!$K$1,D98,",'",E98,"', ",F98,"")</f>
        <v>EXECUTE [dbo].[PG_CI_MOTIVO_ORDEN_TRABAJO] 0, 0, 96,'Tornillo capado', 1</v>
      </c>
      <c r="I98" s="9"/>
    </row>
    <row r="99" spans="1:9" s="8" customFormat="1" ht="12" x14ac:dyDescent="0.25">
      <c r="A99" s="16"/>
      <c r="B99" s="17">
        <v>0</v>
      </c>
      <c r="C99" s="17">
        <v>0</v>
      </c>
      <c r="D99" s="21">
        <v>97</v>
      </c>
      <c r="E99" s="18" t="s">
        <v>263</v>
      </c>
      <c r="F99" s="20">
        <v>1</v>
      </c>
      <c r="H99" s="19" t="str">
        <f>CONCATENATE(CI_MOTIVO!$K$1,D99,",'",E99,"', ",F99,"")</f>
        <v>EXECUTE [dbo].[PG_CI_MOTIVO_ORDEN_TRABAJO] 0, 0, 97,'Tornillo flojo', 1</v>
      </c>
      <c r="I99" s="9"/>
    </row>
    <row r="100" spans="1:9" s="8" customFormat="1" ht="12" x14ac:dyDescent="0.25">
      <c r="A100" s="16"/>
      <c r="B100" s="17">
        <v>0</v>
      </c>
      <c r="C100" s="17">
        <v>0</v>
      </c>
      <c r="D100" s="21">
        <v>98</v>
      </c>
      <c r="E100" s="18" t="s">
        <v>264</v>
      </c>
      <c r="F100" s="20">
        <v>1</v>
      </c>
      <c r="H100" s="19" t="str">
        <f>CONCATENATE(CI_MOTIVO!$K$1,D100,",'",E100,"', ",F100,"")</f>
        <v>EXECUTE [dbo].[PG_CI_MOTIVO_ORDEN_TRABAJO] 0, 0, 98,'Trampa de grasa', 1</v>
      </c>
      <c r="I100" s="9"/>
    </row>
    <row r="101" spans="1:9" s="8" customFormat="1" ht="12" x14ac:dyDescent="0.25">
      <c r="A101" s="16"/>
      <c r="B101" s="17">
        <v>0</v>
      </c>
      <c r="C101" s="17">
        <v>0</v>
      </c>
      <c r="D101" s="21">
        <v>99</v>
      </c>
      <c r="E101" s="18" t="s">
        <v>296</v>
      </c>
      <c r="F101" s="20">
        <v>1</v>
      </c>
      <c r="H101" s="19" t="str">
        <f>CONCATENATE(CI_MOTIVO!$K$1,D101,",'",E101,"', ",F101,"")</f>
        <v>EXECUTE [dbo].[PG_CI_MOTIVO_ORDEN_TRABAJO] 0, 0, 99,'Valvula de aire dañada', 1</v>
      </c>
      <c r="I101" s="9"/>
    </row>
    <row r="102" spans="1:9" s="8" customFormat="1" ht="12" x14ac:dyDescent="0.25">
      <c r="A102" s="16"/>
      <c r="B102" s="17">
        <v>0</v>
      </c>
      <c r="C102" s="17">
        <v>0</v>
      </c>
      <c r="D102" s="21">
        <v>100</v>
      </c>
      <c r="E102" s="18" t="s">
        <v>282</v>
      </c>
      <c r="F102" s="20">
        <v>1</v>
      </c>
      <c r="H102" s="19" t="str">
        <f>CONCATENATE(CI_MOTIVO!$K$1,D102,",'",E102,"', ",F102,"")</f>
        <v>EXECUTE [dbo].[PG_CI_MOTIVO_ORDEN_TRABAJO] 0, 0, 100,'Vibración', 1</v>
      </c>
      <c r="I102" s="9"/>
    </row>
    <row r="103" spans="1:9" s="8" customFormat="1" ht="12" x14ac:dyDescent="0.25">
      <c r="A103" s="16"/>
      <c r="B103" s="17"/>
      <c r="C103" s="17"/>
      <c r="D103" s="21"/>
      <c r="E103" s="18"/>
      <c r="F103" s="20"/>
      <c r="H103" s="19"/>
      <c r="I103" s="9"/>
    </row>
    <row r="104" spans="1:9" s="8" customFormat="1" ht="12" x14ac:dyDescent="0.25">
      <c r="A104" s="16"/>
      <c r="B104" s="17"/>
      <c r="C104" s="17"/>
      <c r="D104" s="21"/>
      <c r="E104" s="18"/>
      <c r="F104" s="20"/>
      <c r="H104" s="19"/>
      <c r="I104" s="9"/>
    </row>
    <row r="105" spans="1:9" s="8" customFormat="1" ht="12" x14ac:dyDescent="0.25">
      <c r="A105" s="16"/>
      <c r="B105" s="17"/>
      <c r="C105" s="17"/>
      <c r="D105" s="21"/>
      <c r="E105" s="18"/>
      <c r="F105" s="20"/>
      <c r="H105" s="19"/>
      <c r="I105" s="9"/>
    </row>
    <row r="106" spans="1:9" s="8" customFormat="1" ht="12" x14ac:dyDescent="0.25">
      <c r="A106" s="16"/>
      <c r="B106" s="17"/>
      <c r="C106" s="17"/>
      <c r="D106" s="21"/>
      <c r="E106" s="18"/>
      <c r="F106" s="20"/>
      <c r="H106" s="19"/>
      <c r="I106" s="9"/>
    </row>
    <row r="107" spans="1:9" s="8" customFormat="1" ht="12" x14ac:dyDescent="0.25">
      <c r="A107" s="16"/>
      <c r="B107" s="17"/>
      <c r="C107" s="17"/>
      <c r="D107" s="21"/>
      <c r="E107" s="18"/>
      <c r="F107" s="20"/>
      <c r="H107" s="19"/>
      <c r="I107" s="9"/>
    </row>
    <row r="108" spans="1:9" s="8" customFormat="1" ht="12" x14ac:dyDescent="0.25">
      <c r="A108" s="16"/>
      <c r="B108" s="17"/>
      <c r="C108" s="17"/>
      <c r="D108" s="21"/>
      <c r="E108" s="18"/>
      <c r="F108" s="20"/>
      <c r="H108" s="19"/>
      <c r="I108" s="9"/>
    </row>
    <row r="109" spans="1:9" s="8" customFormat="1" ht="12" x14ac:dyDescent="0.25">
      <c r="A109" s="16"/>
      <c r="B109" s="17"/>
      <c r="C109" s="17"/>
      <c r="D109" s="21"/>
      <c r="E109" s="18"/>
      <c r="F109" s="20"/>
      <c r="H109" s="19"/>
      <c r="I109" s="9"/>
    </row>
    <row r="110" spans="1:9" s="8" customFormat="1" ht="12" x14ac:dyDescent="0.25">
      <c r="A110" s="16"/>
      <c r="B110" s="17"/>
      <c r="C110" s="17"/>
      <c r="D110" s="21"/>
      <c r="E110" s="18"/>
      <c r="F110" s="20"/>
      <c r="H110" s="19"/>
      <c r="I110" s="9"/>
    </row>
    <row r="111" spans="1:9" s="8" customFormat="1" ht="12" x14ac:dyDescent="0.25">
      <c r="A111" s="16"/>
      <c r="B111" s="17"/>
      <c r="C111" s="17"/>
      <c r="D111" s="21"/>
      <c r="F111" s="20"/>
      <c r="H111" s="19"/>
      <c r="I111" s="9"/>
    </row>
    <row r="112" spans="1:9" s="8" customFormat="1" ht="12" x14ac:dyDescent="0.25">
      <c r="A112" s="16"/>
      <c r="B112" s="17"/>
      <c r="C112" s="17"/>
      <c r="D112" s="21"/>
      <c r="F112" s="20"/>
      <c r="H112" s="19"/>
      <c r="I112" s="9"/>
    </row>
    <row r="113" spans="1:9" s="8" customFormat="1" ht="12" x14ac:dyDescent="0.25">
      <c r="A113" s="16"/>
      <c r="B113" s="17"/>
      <c r="C113" s="17"/>
      <c r="D113" s="21"/>
      <c r="F113" s="20"/>
      <c r="H113" s="19"/>
      <c r="I113" s="9"/>
    </row>
    <row r="114" spans="1:9" s="8" customFormat="1" ht="12" x14ac:dyDescent="0.25">
      <c r="A114" s="16"/>
      <c r="B114" s="17"/>
      <c r="C114" s="17"/>
      <c r="D114" s="21"/>
      <c r="F114" s="20"/>
      <c r="H114" s="19"/>
      <c r="I114" s="9"/>
    </row>
    <row r="115" spans="1:9" s="8" customFormat="1" ht="12" x14ac:dyDescent="0.25">
      <c r="A115" s="16"/>
      <c r="B115" s="17"/>
      <c r="C115" s="17"/>
      <c r="D115" s="21"/>
      <c r="F115" s="20"/>
      <c r="H115" s="19"/>
      <c r="I115" s="9"/>
    </row>
    <row r="116" spans="1:9" s="8" customFormat="1" ht="12" x14ac:dyDescent="0.25">
      <c r="A116" s="16"/>
      <c r="B116" s="17"/>
      <c r="C116" s="17"/>
      <c r="D116" s="21"/>
      <c r="F116" s="20"/>
      <c r="H116" s="19"/>
      <c r="I116" s="9"/>
    </row>
    <row r="117" spans="1:9" s="8" customFormat="1" ht="12" x14ac:dyDescent="0.25">
      <c r="A117" s="16"/>
      <c r="B117" s="17"/>
      <c r="C117" s="17"/>
      <c r="D117" s="21"/>
      <c r="F117" s="20"/>
      <c r="H117" s="19"/>
      <c r="I117" s="9"/>
    </row>
    <row r="118" spans="1:9" s="8" customFormat="1" ht="12" x14ac:dyDescent="0.25">
      <c r="A118" s="16"/>
      <c r="B118" s="17"/>
      <c r="C118" s="17"/>
      <c r="D118" s="21"/>
      <c r="F118" s="20"/>
      <c r="H118" s="19"/>
      <c r="I118" s="9"/>
    </row>
    <row r="119" spans="1:9" s="8" customFormat="1" ht="12" x14ac:dyDescent="0.25">
      <c r="A119" s="16"/>
      <c r="B119" s="17"/>
      <c r="C119" s="17"/>
      <c r="D119" s="21"/>
      <c r="F119" s="20"/>
      <c r="H119" s="19"/>
      <c r="I119" s="9"/>
    </row>
    <row r="120" spans="1:9" s="8" customFormat="1" ht="12" x14ac:dyDescent="0.25">
      <c r="A120" s="16"/>
      <c r="B120" s="17"/>
      <c r="C120" s="17"/>
      <c r="D120" s="21"/>
      <c r="E120" s="18"/>
      <c r="F120" s="20"/>
      <c r="H120" s="19"/>
      <c r="I120" s="9"/>
    </row>
    <row r="121" spans="1:9" s="8" customFormat="1" ht="12" x14ac:dyDescent="0.25">
      <c r="A121" s="16"/>
      <c r="B121" s="17"/>
      <c r="C121" s="17"/>
      <c r="D121" s="21"/>
      <c r="E121" s="18"/>
      <c r="F121" s="20"/>
      <c r="H121" s="19"/>
      <c r="I121" s="9"/>
    </row>
    <row r="122" spans="1:9" s="8" customFormat="1" ht="12" x14ac:dyDescent="0.25">
      <c r="A122" s="16"/>
      <c r="B122" s="17"/>
      <c r="C122" s="17"/>
      <c r="D122" s="21"/>
      <c r="E122" s="18"/>
      <c r="F122" s="20"/>
      <c r="H122" s="19"/>
      <c r="I122" s="9"/>
    </row>
    <row r="123" spans="1:9" s="8" customFormat="1" ht="12" x14ac:dyDescent="0.25">
      <c r="A123" s="16"/>
      <c r="B123" s="17"/>
      <c r="C123" s="17"/>
      <c r="D123" s="21"/>
      <c r="E123" s="18"/>
      <c r="F123" s="20"/>
      <c r="H123" s="19"/>
      <c r="I123" s="9"/>
    </row>
    <row r="124" spans="1:9" s="8" customFormat="1" ht="12" x14ac:dyDescent="0.25">
      <c r="A124" s="16"/>
      <c r="B124" s="17"/>
      <c r="C124" s="17"/>
      <c r="D124" s="21"/>
      <c r="E124" s="18"/>
      <c r="F124" s="20"/>
      <c r="H124" s="19"/>
      <c r="I124" s="9"/>
    </row>
    <row r="125" spans="1:9" s="8" customFormat="1" ht="12" x14ac:dyDescent="0.25">
      <c r="A125" s="16"/>
      <c r="B125" s="17"/>
      <c r="C125" s="17"/>
      <c r="D125" s="21"/>
      <c r="E125" s="18"/>
      <c r="F125" s="20"/>
      <c r="H125" s="19"/>
      <c r="I125" s="9"/>
    </row>
    <row r="126" spans="1:9" s="8" customFormat="1" ht="12" x14ac:dyDescent="0.25">
      <c r="A126" s="16"/>
      <c r="B126" s="17"/>
      <c r="C126" s="17"/>
      <c r="D126" s="21"/>
      <c r="E126" s="18"/>
      <c r="F126" s="20"/>
      <c r="H126" s="19"/>
      <c r="I126" s="9"/>
    </row>
    <row r="127" spans="1:9" s="8" customFormat="1" ht="12" x14ac:dyDescent="0.25">
      <c r="A127" s="16"/>
      <c r="B127" s="17"/>
      <c r="C127" s="17"/>
      <c r="D127" s="21"/>
      <c r="E127" s="18"/>
      <c r="F127" s="20"/>
      <c r="H127" s="19"/>
      <c r="I127" s="9"/>
    </row>
    <row r="128" spans="1:9" s="8" customFormat="1" ht="12" x14ac:dyDescent="0.25">
      <c r="A128" s="16"/>
      <c r="B128" s="17"/>
      <c r="C128" s="17"/>
      <c r="D128" s="21"/>
      <c r="E128" s="18"/>
      <c r="F128" s="20"/>
      <c r="H128" s="19"/>
      <c r="I128" s="9"/>
    </row>
    <row r="129" spans="1:9" s="8" customFormat="1" ht="12" x14ac:dyDescent="0.25">
      <c r="A129" s="16"/>
      <c r="B129" s="17"/>
      <c r="C129" s="17"/>
      <c r="D129" s="21"/>
      <c r="E129" s="18"/>
      <c r="F129" s="20"/>
      <c r="H129" s="19"/>
      <c r="I129" s="9"/>
    </row>
    <row r="130" spans="1:9" s="8" customFormat="1" ht="12" x14ac:dyDescent="0.25">
      <c r="A130" s="16"/>
      <c r="B130" s="17"/>
      <c r="C130" s="17"/>
      <c r="D130" s="21"/>
      <c r="E130" s="18"/>
      <c r="F130" s="20"/>
      <c r="H130" s="19"/>
      <c r="I130" s="9"/>
    </row>
    <row r="131" spans="1:9" s="8" customFormat="1" ht="12" x14ac:dyDescent="0.25">
      <c r="A131" s="16"/>
      <c r="B131" s="17"/>
      <c r="C131" s="17"/>
      <c r="D131" s="21"/>
      <c r="E131" s="18"/>
      <c r="F131" s="20"/>
      <c r="H131" s="19"/>
      <c r="I131" s="9"/>
    </row>
    <row r="132" spans="1:9" s="8" customFormat="1" ht="12" x14ac:dyDescent="0.25">
      <c r="A132" s="16"/>
      <c r="B132" s="17"/>
      <c r="C132" s="17"/>
      <c r="D132" s="21"/>
      <c r="E132" s="18"/>
      <c r="F132" s="20"/>
      <c r="H132" s="19"/>
      <c r="I132" s="9"/>
    </row>
    <row r="133" spans="1:9" s="8" customFormat="1" ht="12" x14ac:dyDescent="0.25">
      <c r="A133" s="16"/>
      <c r="B133" s="17"/>
      <c r="C133" s="17"/>
      <c r="D133" s="21"/>
      <c r="E133" s="18"/>
      <c r="F133" s="20"/>
      <c r="H133" s="19"/>
      <c r="I133" s="9"/>
    </row>
    <row r="134" spans="1:9" s="8" customFormat="1" ht="12" x14ac:dyDescent="0.25">
      <c r="A134" s="16"/>
      <c r="B134" s="17"/>
      <c r="C134" s="17"/>
      <c r="D134" s="21"/>
      <c r="E134" s="18"/>
      <c r="F134" s="20"/>
      <c r="H134" s="19"/>
      <c r="I134" s="9"/>
    </row>
    <row r="135" spans="1:9" s="8" customFormat="1" ht="12" x14ac:dyDescent="0.25">
      <c r="A135" s="16"/>
      <c r="B135" s="17"/>
      <c r="C135" s="17"/>
      <c r="D135" s="21"/>
      <c r="E135" s="18"/>
      <c r="F135" s="20"/>
      <c r="H135" s="19"/>
      <c r="I135" s="9"/>
    </row>
    <row r="136" spans="1:9" s="8" customFormat="1" ht="12" x14ac:dyDescent="0.25">
      <c r="A136" s="16"/>
      <c r="B136" s="17"/>
      <c r="C136" s="17"/>
      <c r="D136" s="21"/>
      <c r="E136" s="18"/>
      <c r="F136" s="20"/>
      <c r="H136" s="19"/>
      <c r="I136" s="9"/>
    </row>
    <row r="137" spans="1:9" s="8" customFormat="1" ht="12" x14ac:dyDescent="0.25">
      <c r="A137" s="16"/>
      <c r="B137" s="17"/>
      <c r="C137" s="17"/>
      <c r="D137" s="21"/>
      <c r="E137" s="18"/>
      <c r="F137" s="20"/>
      <c r="H137" s="19"/>
      <c r="I137" s="9"/>
    </row>
    <row r="138" spans="1:9" s="8" customFormat="1" ht="12" x14ac:dyDescent="0.25">
      <c r="A138" s="16"/>
      <c r="B138" s="17"/>
      <c r="C138" s="17"/>
      <c r="D138" s="21"/>
      <c r="E138" s="18"/>
      <c r="F138" s="20"/>
      <c r="H138" s="19"/>
      <c r="I138" s="9"/>
    </row>
    <row r="139" spans="1:9" s="8" customFormat="1" ht="12" x14ac:dyDescent="0.25">
      <c r="A139" s="16"/>
      <c r="B139" s="17"/>
      <c r="C139" s="17"/>
      <c r="D139" s="21"/>
      <c r="E139" s="18"/>
      <c r="F139" s="20"/>
      <c r="H139" s="19"/>
      <c r="I139" s="9"/>
    </row>
    <row r="140" spans="1:9" s="8" customFormat="1" ht="12" x14ac:dyDescent="0.25">
      <c r="A140" s="16"/>
      <c r="B140" s="17"/>
      <c r="C140" s="17"/>
      <c r="D140" s="21"/>
      <c r="E140" s="18"/>
      <c r="F140" s="20"/>
      <c r="H140" s="19"/>
      <c r="I140" s="9"/>
    </row>
    <row r="141" spans="1:9" s="8" customFormat="1" ht="12" x14ac:dyDescent="0.25">
      <c r="A141" s="16"/>
      <c r="B141" s="17"/>
      <c r="C141" s="17"/>
      <c r="D141" s="21"/>
      <c r="E141" s="18"/>
      <c r="F141" s="20"/>
      <c r="H141" s="19"/>
      <c r="I141" s="9"/>
    </row>
    <row r="142" spans="1:9" s="8" customFormat="1" ht="12" x14ac:dyDescent="0.25">
      <c r="A142" s="16"/>
      <c r="B142" s="17"/>
      <c r="C142" s="17"/>
      <c r="D142" s="21"/>
      <c r="E142" s="18"/>
      <c r="F142" s="20"/>
      <c r="H142" s="19"/>
      <c r="I142" s="9"/>
    </row>
    <row r="143" spans="1:9" s="8" customFormat="1" ht="12" x14ac:dyDescent="0.25">
      <c r="A143" s="16"/>
      <c r="B143" s="17"/>
      <c r="C143" s="17"/>
      <c r="D143" s="21"/>
      <c r="E143" s="18"/>
      <c r="F143" s="20"/>
      <c r="H143" s="19"/>
      <c r="I143" s="9"/>
    </row>
    <row r="144" spans="1:9" s="8" customFormat="1" ht="12" x14ac:dyDescent="0.25">
      <c r="A144" s="16"/>
      <c r="B144" s="17"/>
      <c r="C144" s="17"/>
      <c r="D144" s="21"/>
      <c r="E144" s="18"/>
      <c r="F144" s="20"/>
      <c r="H144" s="19"/>
      <c r="I144" s="9"/>
    </row>
    <row r="145" spans="1:9" s="8" customFormat="1" ht="12" x14ac:dyDescent="0.25">
      <c r="A145" s="16"/>
      <c r="B145" s="17"/>
      <c r="C145" s="17"/>
      <c r="D145" s="21"/>
      <c r="E145" s="18"/>
      <c r="F145" s="20"/>
      <c r="H145" s="19"/>
      <c r="I145" s="9"/>
    </row>
    <row r="146" spans="1:9" s="8" customFormat="1" ht="12" x14ac:dyDescent="0.25">
      <c r="A146" s="16"/>
      <c r="B146" s="17"/>
      <c r="C146" s="17"/>
      <c r="D146" s="21"/>
      <c r="E146" s="18"/>
      <c r="F146" s="20"/>
      <c r="H146" s="19"/>
      <c r="I146" s="9"/>
    </row>
    <row r="147" spans="1:9" s="8" customFormat="1" ht="12" x14ac:dyDescent="0.25">
      <c r="A147" s="16"/>
      <c r="B147" s="17"/>
      <c r="C147" s="17"/>
      <c r="D147" s="21"/>
      <c r="E147" s="18"/>
      <c r="F147" s="20"/>
      <c r="H147" s="19"/>
      <c r="I147" s="9"/>
    </row>
    <row r="148" spans="1:9" s="8" customFormat="1" ht="12" x14ac:dyDescent="0.25">
      <c r="A148" s="16"/>
      <c r="B148" s="17"/>
      <c r="C148" s="17"/>
      <c r="D148" s="21"/>
      <c r="E148" s="18"/>
      <c r="F148" s="20"/>
      <c r="H148" s="19"/>
      <c r="I148" s="9"/>
    </row>
    <row r="149" spans="1:9" s="8" customFormat="1" ht="12" x14ac:dyDescent="0.25">
      <c r="A149" s="16"/>
      <c r="B149" s="17"/>
      <c r="C149" s="17"/>
      <c r="D149" s="21"/>
      <c r="E149" s="18"/>
      <c r="F149" s="20"/>
      <c r="H149" s="19"/>
      <c r="I149" s="9"/>
    </row>
    <row r="150" spans="1:9" s="8" customFormat="1" ht="12" x14ac:dyDescent="0.25">
      <c r="A150" s="16"/>
      <c r="B150" s="17"/>
      <c r="C150" s="17"/>
      <c r="D150" s="21"/>
      <c r="E150" s="18"/>
      <c r="F150" s="20"/>
      <c r="H150" s="19"/>
      <c r="I150" s="9"/>
    </row>
    <row r="151" spans="1:9" s="8" customFormat="1" ht="12" x14ac:dyDescent="0.25">
      <c r="A151" s="16"/>
      <c r="B151" s="17"/>
      <c r="C151" s="17"/>
      <c r="D151" s="21"/>
      <c r="E151" s="18"/>
      <c r="F151" s="20"/>
      <c r="H151" s="19"/>
      <c r="I151" s="9"/>
    </row>
    <row r="152" spans="1:9" s="8" customFormat="1" ht="12" x14ac:dyDescent="0.25">
      <c r="A152" s="16"/>
      <c r="B152" s="17"/>
      <c r="C152" s="17"/>
      <c r="D152" s="21"/>
      <c r="E152" s="18"/>
      <c r="F152" s="20"/>
      <c r="H152" s="19"/>
      <c r="I152" s="9"/>
    </row>
    <row r="153" spans="1:9" s="8" customFormat="1" ht="12" x14ac:dyDescent="0.25">
      <c r="A153" s="16"/>
      <c r="B153" s="17"/>
      <c r="C153" s="17"/>
      <c r="D153" s="21"/>
      <c r="E153" s="18"/>
      <c r="F153" s="20"/>
      <c r="H153" s="19"/>
      <c r="I153" s="9"/>
    </row>
    <row r="154" spans="1:9" s="8" customFormat="1" ht="12" x14ac:dyDescent="0.25">
      <c r="A154" s="16"/>
      <c r="B154" s="17"/>
      <c r="C154" s="17"/>
      <c r="D154" s="21"/>
      <c r="E154" s="18"/>
      <c r="F154" s="20"/>
      <c r="H154" s="19"/>
      <c r="I154" s="9"/>
    </row>
    <row r="155" spans="1:9" s="8" customFormat="1" ht="12" x14ac:dyDescent="0.25">
      <c r="A155" s="16"/>
      <c r="B155" s="17"/>
      <c r="C155" s="17"/>
      <c r="D155" s="21"/>
      <c r="E155" s="18"/>
      <c r="F155" s="20"/>
      <c r="H155" s="19"/>
      <c r="I155" s="9"/>
    </row>
    <row r="156" spans="1:9" s="8" customFormat="1" ht="12" x14ac:dyDescent="0.25">
      <c r="A156" s="16"/>
      <c r="B156" s="17"/>
      <c r="C156" s="17"/>
      <c r="D156" s="21"/>
      <c r="E156" s="18"/>
      <c r="F156" s="20"/>
      <c r="H156" s="19"/>
      <c r="I156" s="9"/>
    </row>
    <row r="157" spans="1:9" s="8" customFormat="1" ht="12" x14ac:dyDescent="0.25">
      <c r="A157" s="16"/>
      <c r="B157" s="17"/>
      <c r="C157" s="17"/>
      <c r="D157" s="21"/>
      <c r="E157" s="18"/>
      <c r="F157" s="20"/>
      <c r="H157" s="19"/>
      <c r="I157" s="9"/>
    </row>
    <row r="158" spans="1:9" s="8" customFormat="1" ht="12" x14ac:dyDescent="0.25">
      <c r="A158" s="16"/>
      <c r="B158" s="17"/>
      <c r="C158" s="17"/>
      <c r="D158" s="21"/>
      <c r="E158" s="18"/>
      <c r="F158" s="20"/>
      <c r="H158" s="19"/>
      <c r="I158" s="9"/>
    </row>
    <row r="159" spans="1:9" s="8" customFormat="1" ht="12" x14ac:dyDescent="0.25">
      <c r="A159" s="16"/>
      <c r="B159" s="17"/>
      <c r="C159" s="17"/>
      <c r="D159" s="21"/>
      <c r="E159" s="18"/>
      <c r="F159" s="20"/>
      <c r="H159" s="19"/>
      <c r="I159" s="9"/>
    </row>
    <row r="160" spans="1:9" s="8" customFormat="1" ht="12" x14ac:dyDescent="0.25">
      <c r="A160" s="16"/>
      <c r="B160" s="17"/>
      <c r="C160" s="17"/>
      <c r="D160" s="21"/>
      <c r="E160" s="18"/>
      <c r="F160" s="20"/>
      <c r="H160" s="19"/>
      <c r="I160" s="9"/>
    </row>
    <row r="161" spans="1:9" s="8" customFormat="1" ht="12" x14ac:dyDescent="0.25">
      <c r="A161" s="16"/>
      <c r="B161" s="17"/>
      <c r="C161" s="17"/>
      <c r="D161" s="21"/>
      <c r="E161" s="18"/>
      <c r="F161" s="20"/>
      <c r="H161" s="19"/>
      <c r="I161" s="9"/>
    </row>
    <row r="162" spans="1:9" s="8" customFormat="1" ht="12" x14ac:dyDescent="0.25">
      <c r="A162" s="16"/>
      <c r="B162" s="17"/>
      <c r="C162" s="17"/>
      <c r="D162" s="21"/>
      <c r="E162" s="18"/>
      <c r="F162" s="20"/>
      <c r="H162" s="19"/>
      <c r="I162" s="9"/>
    </row>
    <row r="163" spans="1:9" s="8" customFormat="1" ht="12" x14ac:dyDescent="0.25">
      <c r="A163" s="16"/>
      <c r="B163" s="17"/>
      <c r="C163" s="17"/>
      <c r="D163" s="21"/>
      <c r="E163" s="18"/>
      <c r="F163" s="20"/>
      <c r="H163" s="19"/>
      <c r="I163" s="9"/>
    </row>
    <row r="164" spans="1:9" s="8" customFormat="1" ht="12" x14ac:dyDescent="0.25">
      <c r="A164" s="16"/>
      <c r="B164" s="17"/>
      <c r="C164" s="17"/>
      <c r="D164" s="21"/>
      <c r="E164" s="18"/>
      <c r="F164" s="20"/>
      <c r="H164" s="19"/>
      <c r="I164" s="9"/>
    </row>
    <row r="165" spans="1:9" s="8" customFormat="1" ht="12" x14ac:dyDescent="0.25">
      <c r="A165" s="16"/>
      <c r="B165" s="17"/>
      <c r="C165" s="17"/>
      <c r="D165" s="21"/>
      <c r="E165" s="18"/>
      <c r="F165" s="20"/>
      <c r="H165" s="19"/>
      <c r="I165" s="9"/>
    </row>
    <row r="166" spans="1:9" s="8" customFormat="1" ht="12" x14ac:dyDescent="0.25">
      <c r="A166" s="16"/>
      <c r="B166" s="17"/>
      <c r="C166" s="17"/>
      <c r="D166" s="21"/>
      <c r="E166" s="18"/>
      <c r="F166" s="20"/>
      <c r="H166" s="19"/>
      <c r="I166" s="9"/>
    </row>
    <row r="167" spans="1:9" s="8" customFormat="1" ht="12" x14ac:dyDescent="0.25">
      <c r="A167" s="16"/>
      <c r="B167" s="17"/>
      <c r="C167" s="17"/>
      <c r="D167" s="21"/>
      <c r="E167" s="18"/>
      <c r="F167" s="20"/>
      <c r="H167" s="19"/>
      <c r="I167" s="9"/>
    </row>
    <row r="168" spans="1:9" s="8" customFormat="1" ht="12" x14ac:dyDescent="0.25">
      <c r="A168" s="16"/>
      <c r="B168" s="17"/>
      <c r="C168" s="17"/>
      <c r="D168" s="21"/>
      <c r="E168" s="18"/>
      <c r="F168" s="20"/>
      <c r="H168" s="19"/>
      <c r="I168" s="9"/>
    </row>
    <row r="169" spans="1:9" s="8" customFormat="1" ht="12" x14ac:dyDescent="0.25">
      <c r="A169" s="16"/>
      <c r="B169" s="17"/>
      <c r="C169" s="17"/>
      <c r="D169" s="21"/>
      <c r="E169" s="18"/>
      <c r="F169" s="20"/>
      <c r="H169" s="19"/>
      <c r="I169" s="9"/>
    </row>
    <row r="170" spans="1:9" s="8" customFormat="1" ht="12" x14ac:dyDescent="0.25">
      <c r="A170" s="16"/>
      <c r="B170" s="17"/>
      <c r="C170" s="17"/>
      <c r="D170" s="21"/>
      <c r="E170" s="18"/>
      <c r="F170" s="20"/>
      <c r="H170" s="19"/>
      <c r="I170" s="9"/>
    </row>
    <row r="171" spans="1:9" s="8" customFormat="1" ht="12" x14ac:dyDescent="0.25">
      <c r="A171" s="16"/>
      <c r="B171" s="17"/>
      <c r="C171" s="17"/>
      <c r="D171" s="21"/>
      <c r="E171" s="18"/>
      <c r="F171" s="20"/>
      <c r="H171" s="19"/>
      <c r="I171" s="9"/>
    </row>
    <row r="172" spans="1:9" s="8" customFormat="1" ht="12" x14ac:dyDescent="0.25">
      <c r="A172" s="16"/>
      <c r="B172" s="17"/>
      <c r="C172" s="17"/>
      <c r="D172" s="21"/>
      <c r="E172" s="18"/>
      <c r="F172" s="20"/>
      <c r="H172" s="19"/>
      <c r="I172" s="9"/>
    </row>
    <row r="173" spans="1:9" s="8" customFormat="1" ht="12" x14ac:dyDescent="0.25">
      <c r="A173" s="16"/>
      <c r="B173" s="17"/>
      <c r="C173" s="17"/>
      <c r="D173" s="21"/>
      <c r="E173" s="18"/>
      <c r="F173" s="20"/>
      <c r="H173" s="19"/>
      <c r="I173" s="9"/>
    </row>
    <row r="174" spans="1:9" s="8" customFormat="1" ht="12" x14ac:dyDescent="0.25">
      <c r="A174" s="16"/>
      <c r="B174" s="17"/>
      <c r="C174" s="17"/>
      <c r="D174" s="21"/>
      <c r="E174" s="18"/>
      <c r="F174" s="20"/>
      <c r="H174" s="19"/>
      <c r="I174" s="9"/>
    </row>
    <row r="175" spans="1:9" s="8" customFormat="1" ht="12" x14ac:dyDescent="0.25">
      <c r="A175" s="16"/>
      <c r="B175" s="17"/>
      <c r="C175" s="17"/>
      <c r="D175" s="21"/>
      <c r="E175" s="18"/>
      <c r="F175" s="20"/>
      <c r="H175" s="19"/>
      <c r="I175" s="9"/>
    </row>
    <row r="176" spans="1:9" s="8" customFormat="1" ht="12" x14ac:dyDescent="0.25">
      <c r="A176" s="16"/>
      <c r="B176" s="17"/>
      <c r="C176" s="17"/>
      <c r="D176" s="21"/>
      <c r="E176" s="18"/>
      <c r="F176" s="20"/>
      <c r="H176" s="19"/>
      <c r="I176" s="9"/>
    </row>
    <row r="177" spans="1:9" s="8" customFormat="1" ht="12" x14ac:dyDescent="0.25">
      <c r="A177" s="16"/>
      <c r="B177" s="17"/>
      <c r="C177" s="17"/>
      <c r="D177" s="21"/>
      <c r="E177" s="18"/>
      <c r="F177" s="20"/>
      <c r="H177" s="19"/>
      <c r="I177" s="9"/>
    </row>
    <row r="178" spans="1:9" s="8" customFormat="1" ht="12" x14ac:dyDescent="0.25">
      <c r="A178" s="16"/>
      <c r="B178" s="17"/>
      <c r="C178" s="17"/>
      <c r="D178" s="21"/>
      <c r="E178" s="18"/>
      <c r="F178" s="20"/>
      <c r="H178" s="19"/>
      <c r="I178" s="9"/>
    </row>
    <row r="179" spans="1:9" s="8" customFormat="1" ht="12" x14ac:dyDescent="0.25">
      <c r="A179" s="16"/>
      <c r="B179" s="17"/>
      <c r="C179" s="17"/>
      <c r="D179" s="21"/>
      <c r="E179" s="18"/>
      <c r="F179" s="20"/>
      <c r="H179" s="19"/>
      <c r="I179" s="9"/>
    </row>
    <row r="180" spans="1:9" s="8" customFormat="1" ht="12" x14ac:dyDescent="0.25">
      <c r="A180" s="16"/>
      <c r="B180" s="17"/>
      <c r="C180" s="17"/>
      <c r="D180" s="21"/>
      <c r="E180" s="18"/>
      <c r="F180" s="20"/>
      <c r="H180" s="19"/>
      <c r="I180" s="9"/>
    </row>
    <row r="181" spans="1:9" s="8" customFormat="1" ht="12" x14ac:dyDescent="0.25">
      <c r="A181" s="16"/>
      <c r="B181" s="17"/>
      <c r="C181" s="17"/>
      <c r="D181" s="21"/>
      <c r="E181" s="18"/>
      <c r="F181" s="20"/>
      <c r="H181" s="19"/>
      <c r="I181" s="9"/>
    </row>
    <row r="182" spans="1:9" s="8" customFormat="1" ht="12" x14ac:dyDescent="0.25">
      <c r="A182" s="16"/>
      <c r="B182" s="17"/>
      <c r="C182" s="17"/>
      <c r="D182" s="21"/>
      <c r="E182" s="18"/>
      <c r="F182" s="20"/>
      <c r="H182" s="19"/>
      <c r="I182" s="9"/>
    </row>
    <row r="183" spans="1:9" s="8" customFormat="1" ht="12" x14ac:dyDescent="0.25">
      <c r="A183" s="16"/>
      <c r="B183" s="17"/>
      <c r="C183" s="17"/>
      <c r="D183" s="21"/>
      <c r="E183" s="18"/>
      <c r="F183" s="20"/>
      <c r="H183" s="19"/>
      <c r="I183" s="9"/>
    </row>
    <row r="184" spans="1:9" s="8" customFormat="1" ht="12" x14ac:dyDescent="0.25">
      <c r="A184" s="16"/>
      <c r="B184" s="17"/>
      <c r="C184" s="17"/>
      <c r="D184" s="21"/>
      <c r="E184" s="18"/>
      <c r="F184" s="20"/>
      <c r="H184" s="19"/>
      <c r="I184" s="9"/>
    </row>
    <row r="185" spans="1:9" s="8" customFormat="1" ht="12" x14ac:dyDescent="0.25">
      <c r="A185" s="16"/>
      <c r="B185" s="17"/>
      <c r="C185" s="17"/>
      <c r="D185" s="21"/>
      <c r="E185" s="18"/>
      <c r="F185" s="20"/>
      <c r="H185" s="19"/>
      <c r="I185" s="9"/>
    </row>
    <row r="186" spans="1:9" s="8" customFormat="1" ht="12" x14ac:dyDescent="0.25">
      <c r="A186" s="16"/>
      <c r="B186" s="17"/>
      <c r="C186" s="17"/>
      <c r="D186" s="21"/>
      <c r="E186" s="18"/>
      <c r="F186" s="20"/>
      <c r="H186" s="19"/>
      <c r="I186" s="9"/>
    </row>
    <row r="187" spans="1:9" s="8" customFormat="1" ht="12" x14ac:dyDescent="0.25">
      <c r="A187" s="16"/>
      <c r="B187" s="17"/>
      <c r="C187" s="17"/>
      <c r="D187" s="21"/>
      <c r="E187" s="18"/>
      <c r="F187" s="20"/>
      <c r="H187" s="19"/>
      <c r="I187" s="9"/>
    </row>
    <row r="188" spans="1:9" s="8" customFormat="1" ht="12" x14ac:dyDescent="0.25">
      <c r="A188" s="16"/>
      <c r="B188" s="17"/>
      <c r="C188" s="17"/>
      <c r="D188" s="21"/>
      <c r="E188" s="18"/>
      <c r="F188" s="20"/>
      <c r="H188" s="19"/>
      <c r="I188" s="9"/>
    </row>
    <row r="189" spans="1:9" s="8" customFormat="1" ht="12" x14ac:dyDescent="0.25">
      <c r="A189" s="16"/>
      <c r="B189" s="17"/>
      <c r="C189" s="17"/>
      <c r="D189" s="21"/>
      <c r="E189" s="18"/>
      <c r="F189" s="20"/>
      <c r="H189" s="19"/>
      <c r="I189" s="9"/>
    </row>
    <row r="190" spans="1:9" s="8" customFormat="1" ht="12" x14ac:dyDescent="0.25">
      <c r="A190" s="16"/>
      <c r="B190" s="17"/>
      <c r="C190" s="17"/>
      <c r="D190" s="21"/>
      <c r="E190" s="18"/>
      <c r="F190" s="20"/>
      <c r="H190" s="19"/>
      <c r="I190" s="9"/>
    </row>
    <row r="191" spans="1:9" s="8" customFormat="1" ht="12" x14ac:dyDescent="0.25">
      <c r="A191" s="16"/>
      <c r="B191" s="17"/>
      <c r="C191" s="17"/>
      <c r="D191" s="21"/>
      <c r="E191" s="18"/>
      <c r="F191" s="20"/>
      <c r="H191" s="19"/>
      <c r="I191" s="9"/>
    </row>
    <row r="192" spans="1:9" s="8" customFormat="1" ht="12" x14ac:dyDescent="0.25">
      <c r="A192" s="16"/>
      <c r="B192" s="17"/>
      <c r="C192" s="17"/>
      <c r="D192" s="21"/>
      <c r="E192" s="18"/>
      <c r="F192" s="20"/>
      <c r="H192" s="19"/>
      <c r="I192" s="9"/>
    </row>
    <row r="193" spans="1:9" s="8" customFormat="1" ht="12" x14ac:dyDescent="0.25">
      <c r="A193" s="16"/>
      <c r="B193" s="17"/>
      <c r="C193" s="17"/>
      <c r="D193" s="21"/>
      <c r="E193" s="18"/>
      <c r="F193" s="20"/>
      <c r="H193" s="19"/>
      <c r="I193" s="9"/>
    </row>
    <row r="194" spans="1:9" s="8" customFormat="1" ht="12" x14ac:dyDescent="0.25">
      <c r="A194" s="16"/>
      <c r="B194" s="17"/>
      <c r="C194" s="17"/>
      <c r="D194" s="21"/>
      <c r="E194" s="18"/>
      <c r="F194" s="20"/>
      <c r="H194" s="19"/>
      <c r="I194" s="9"/>
    </row>
    <row r="195" spans="1:9" s="8" customFormat="1" ht="12" x14ac:dyDescent="0.25">
      <c r="A195" s="16"/>
      <c r="B195" s="17"/>
      <c r="C195" s="17"/>
      <c r="D195" s="21"/>
      <c r="E195" s="18"/>
      <c r="F195" s="20"/>
      <c r="H195" s="19"/>
      <c r="I195" s="9"/>
    </row>
    <row r="196" spans="1:9" s="8" customFormat="1" ht="12" x14ac:dyDescent="0.25">
      <c r="A196" s="16"/>
      <c r="B196" s="17"/>
      <c r="C196" s="17"/>
      <c r="D196" s="21"/>
      <c r="E196" s="18"/>
      <c r="F196" s="20"/>
      <c r="H196" s="19"/>
      <c r="I196" s="9"/>
    </row>
    <row r="197" spans="1:9" s="8" customFormat="1" ht="12" x14ac:dyDescent="0.25">
      <c r="A197" s="16"/>
      <c r="B197" s="17"/>
      <c r="C197" s="17"/>
      <c r="D197" s="21"/>
      <c r="E197" s="18"/>
      <c r="F197" s="20"/>
      <c r="H197" s="19"/>
      <c r="I197" s="9"/>
    </row>
    <row r="198" spans="1:9" s="8" customFormat="1" ht="12" x14ac:dyDescent="0.25">
      <c r="A198" s="16"/>
      <c r="B198" s="17"/>
      <c r="C198" s="17"/>
      <c r="D198" s="21"/>
      <c r="E198" s="18"/>
      <c r="F198" s="20"/>
      <c r="H198" s="19"/>
      <c r="I198" s="9"/>
    </row>
    <row r="199" spans="1:9" s="8" customFormat="1" ht="12" x14ac:dyDescent="0.25">
      <c r="A199" s="16"/>
      <c r="B199" s="17"/>
      <c r="C199" s="17"/>
      <c r="D199" s="21"/>
      <c r="E199" s="18"/>
      <c r="F199" s="20"/>
      <c r="H199" s="19"/>
      <c r="I199" s="9"/>
    </row>
    <row r="200" spans="1:9" s="8" customFormat="1" ht="12" x14ac:dyDescent="0.25">
      <c r="A200" s="16"/>
      <c r="B200" s="17"/>
      <c r="C200" s="17"/>
      <c r="D200" s="21"/>
      <c r="E200" s="18"/>
      <c r="F200" s="20"/>
      <c r="H200" s="19"/>
      <c r="I200" s="9"/>
    </row>
    <row r="201" spans="1:9" s="8" customFormat="1" ht="12" x14ac:dyDescent="0.25">
      <c r="A201" s="16"/>
      <c r="B201" s="17"/>
      <c r="C201" s="17"/>
      <c r="D201" s="21"/>
      <c r="E201" s="18"/>
      <c r="F201" s="20"/>
      <c r="H201" s="19"/>
      <c r="I201" s="9"/>
    </row>
    <row r="202" spans="1:9" s="8" customFormat="1" ht="12" x14ac:dyDescent="0.25">
      <c r="A202" s="16"/>
      <c r="B202" s="17"/>
      <c r="C202" s="17"/>
      <c r="D202" s="21"/>
      <c r="E202" s="18"/>
      <c r="F202" s="20"/>
      <c r="H202" s="19"/>
      <c r="I202" s="9"/>
    </row>
    <row r="203" spans="1:9" s="8" customFormat="1" ht="12" x14ac:dyDescent="0.25">
      <c r="A203" s="16"/>
      <c r="B203" s="17"/>
      <c r="C203" s="17"/>
      <c r="D203" s="21"/>
      <c r="E203" s="18"/>
      <c r="F203" s="20"/>
      <c r="H203" s="19"/>
      <c r="I203" s="9"/>
    </row>
    <row r="204" spans="1:9" s="8" customFormat="1" ht="12" x14ac:dyDescent="0.25">
      <c r="A204" s="16"/>
      <c r="B204" s="17"/>
      <c r="C204" s="17"/>
      <c r="D204" s="21"/>
      <c r="E204" s="18"/>
      <c r="F204" s="20"/>
      <c r="H204" s="19"/>
      <c r="I204" s="9"/>
    </row>
    <row r="205" spans="1:9" s="8" customFormat="1" ht="12" x14ac:dyDescent="0.25">
      <c r="A205" s="16"/>
      <c r="B205" s="17"/>
      <c r="C205" s="17"/>
      <c r="D205" s="21"/>
      <c r="E205" s="18"/>
      <c r="F205" s="20"/>
      <c r="H205" s="19"/>
      <c r="I205" s="9"/>
    </row>
    <row r="206" spans="1:9" s="8" customFormat="1" ht="12" x14ac:dyDescent="0.25">
      <c r="A206" s="16"/>
      <c r="B206" s="17"/>
      <c r="C206" s="17"/>
      <c r="D206" s="21"/>
      <c r="E206" s="18"/>
      <c r="F206" s="20"/>
      <c r="H206" s="19"/>
      <c r="I206" s="9"/>
    </row>
    <row r="207" spans="1:9" s="8" customFormat="1" ht="12" x14ac:dyDescent="0.25">
      <c r="A207" s="16"/>
      <c r="B207" s="17"/>
      <c r="C207" s="17"/>
      <c r="D207" s="21"/>
      <c r="E207" s="18"/>
      <c r="F207" s="20"/>
      <c r="H207" s="19"/>
      <c r="I207" s="9"/>
    </row>
    <row r="208" spans="1:9" s="8" customFormat="1" ht="12" x14ac:dyDescent="0.25">
      <c r="A208" s="16"/>
      <c r="B208" s="17"/>
      <c r="C208" s="17"/>
      <c r="D208" s="21"/>
      <c r="E208" s="18"/>
      <c r="F208" s="20"/>
      <c r="H208" s="19"/>
      <c r="I208" s="9"/>
    </row>
    <row r="209" spans="1:9" s="8" customFormat="1" ht="12" x14ac:dyDescent="0.25">
      <c r="A209" s="16"/>
      <c r="B209" s="17"/>
      <c r="C209" s="17"/>
      <c r="D209" s="21"/>
      <c r="E209" s="18"/>
      <c r="F209" s="20"/>
      <c r="H209" s="19"/>
      <c r="I209" s="9"/>
    </row>
    <row r="210" spans="1:9" s="8" customFormat="1" ht="12" x14ac:dyDescent="0.25">
      <c r="A210" s="16"/>
      <c r="B210" s="17"/>
      <c r="C210" s="17"/>
      <c r="D210" s="21"/>
      <c r="E210" s="18"/>
      <c r="F210" s="20"/>
      <c r="H210" s="19"/>
      <c r="I210" s="9"/>
    </row>
    <row r="211" spans="1:9" s="8" customFormat="1" ht="12" x14ac:dyDescent="0.25">
      <c r="A211" s="16"/>
      <c r="B211" s="17"/>
      <c r="C211" s="17"/>
      <c r="D211" s="21"/>
      <c r="E211" s="18"/>
      <c r="F211" s="20"/>
      <c r="H211" s="19"/>
      <c r="I211" s="9"/>
    </row>
    <row r="212" spans="1:9" s="8" customFormat="1" ht="12" x14ac:dyDescent="0.25">
      <c r="A212" s="16"/>
      <c r="B212" s="17"/>
      <c r="C212" s="17"/>
      <c r="D212" s="21"/>
      <c r="E212" s="18"/>
      <c r="F212" s="20"/>
      <c r="H212" s="19"/>
      <c r="I212" s="9"/>
    </row>
    <row r="213" spans="1:9" s="8" customFormat="1" ht="12" x14ac:dyDescent="0.25">
      <c r="A213" s="16"/>
      <c r="B213" s="17"/>
      <c r="C213" s="17"/>
      <c r="D213" s="21"/>
      <c r="E213" s="18"/>
      <c r="F213" s="20"/>
      <c r="H213" s="19"/>
      <c r="I213" s="9"/>
    </row>
    <row r="214" spans="1:9" s="8" customFormat="1" ht="12" x14ac:dyDescent="0.25">
      <c r="A214" s="16"/>
      <c r="B214" s="17"/>
      <c r="C214" s="17"/>
      <c r="D214" s="21"/>
      <c r="E214" s="18"/>
      <c r="F214" s="20"/>
      <c r="H214" s="19"/>
      <c r="I214" s="9"/>
    </row>
    <row r="215" spans="1:9" s="8" customFormat="1" ht="12" x14ac:dyDescent="0.25">
      <c r="A215" s="16"/>
      <c r="B215" s="17"/>
      <c r="C215" s="17"/>
      <c r="D215" s="21"/>
      <c r="E215" s="18"/>
      <c r="F215" s="20"/>
      <c r="H215" s="19"/>
      <c r="I215" s="9"/>
    </row>
    <row r="216" spans="1:9" s="8" customFormat="1" ht="12" x14ac:dyDescent="0.25">
      <c r="A216" s="16"/>
      <c r="B216" s="17"/>
      <c r="C216" s="17"/>
      <c r="D216" s="21"/>
      <c r="E216" s="18"/>
      <c r="F216" s="20"/>
      <c r="H216" s="19"/>
      <c r="I216" s="9"/>
    </row>
    <row r="217" spans="1:9" s="8" customFormat="1" ht="12" x14ac:dyDescent="0.25">
      <c r="A217" s="16"/>
      <c r="B217" s="17"/>
      <c r="C217" s="17"/>
      <c r="D217" s="21"/>
      <c r="E217" s="18"/>
      <c r="F217" s="20"/>
      <c r="H217" s="19"/>
      <c r="I217" s="9"/>
    </row>
    <row r="218" spans="1:9" s="8" customFormat="1" ht="12" x14ac:dyDescent="0.25">
      <c r="A218" s="16"/>
      <c r="B218" s="17"/>
      <c r="C218" s="17"/>
      <c r="D218" s="21"/>
      <c r="E218" s="18"/>
      <c r="F218" s="20"/>
      <c r="H218" s="19"/>
      <c r="I218" s="9"/>
    </row>
    <row r="219" spans="1:9" s="8" customFormat="1" ht="12" x14ac:dyDescent="0.25">
      <c r="A219" s="16"/>
      <c r="B219" s="17"/>
      <c r="C219" s="17"/>
      <c r="D219" s="21"/>
      <c r="E219" s="18"/>
      <c r="F219" s="20"/>
      <c r="H219" s="19"/>
      <c r="I219" s="9"/>
    </row>
    <row r="220" spans="1:9" s="8" customFormat="1" ht="12" x14ac:dyDescent="0.25">
      <c r="A220" s="16"/>
      <c r="B220" s="17"/>
      <c r="C220" s="17"/>
      <c r="D220" s="21"/>
      <c r="E220" s="18"/>
      <c r="F220" s="20"/>
      <c r="H220" s="19"/>
      <c r="I220" s="9"/>
    </row>
    <row r="221" spans="1:9" s="8" customFormat="1" ht="12" x14ac:dyDescent="0.25">
      <c r="A221" s="16"/>
      <c r="B221" s="17"/>
      <c r="C221" s="17"/>
      <c r="D221" s="21"/>
      <c r="E221" s="18"/>
      <c r="F221" s="20"/>
      <c r="H221" s="19"/>
      <c r="I221" s="9"/>
    </row>
    <row r="222" spans="1:9" s="8" customFormat="1" ht="12" x14ac:dyDescent="0.25">
      <c r="A222" s="16"/>
      <c r="B222" s="17"/>
      <c r="C222" s="17"/>
      <c r="D222" s="21"/>
      <c r="E222" s="18"/>
      <c r="F222" s="20"/>
      <c r="H222" s="19"/>
      <c r="I222" s="9"/>
    </row>
    <row r="223" spans="1:9" s="8" customFormat="1" ht="12" x14ac:dyDescent="0.25">
      <c r="A223" s="16"/>
      <c r="B223" s="17"/>
      <c r="C223" s="17"/>
      <c r="D223" s="21"/>
      <c r="E223" s="18"/>
      <c r="F223" s="20"/>
      <c r="H223" s="19"/>
      <c r="I223" s="9"/>
    </row>
    <row r="224" spans="1:9" s="8" customFormat="1" ht="12" x14ac:dyDescent="0.25">
      <c r="A224" s="16"/>
      <c r="B224" s="17"/>
      <c r="C224" s="17"/>
      <c r="D224" s="21"/>
      <c r="E224" s="18"/>
      <c r="F224" s="20"/>
      <c r="H224" s="19"/>
      <c r="I224" s="9"/>
    </row>
    <row r="225" spans="1:9" s="8" customFormat="1" ht="12" x14ac:dyDescent="0.25">
      <c r="A225" s="16"/>
      <c r="B225" s="17"/>
      <c r="C225" s="17"/>
      <c r="D225" s="21"/>
      <c r="E225" s="18"/>
      <c r="F225" s="20"/>
      <c r="H225" s="19"/>
      <c r="I225" s="9"/>
    </row>
    <row r="226" spans="1:9" s="8" customFormat="1" ht="12" x14ac:dyDescent="0.25">
      <c r="A226" s="16"/>
      <c r="B226" s="17"/>
      <c r="C226" s="17"/>
      <c r="D226" s="21"/>
      <c r="E226" s="18"/>
      <c r="F226" s="20"/>
      <c r="H226" s="19"/>
      <c r="I226" s="9"/>
    </row>
    <row r="227" spans="1:9" s="8" customFormat="1" ht="12" x14ac:dyDescent="0.25">
      <c r="A227" s="16"/>
      <c r="B227" s="17"/>
      <c r="C227" s="17"/>
      <c r="D227" s="21"/>
      <c r="E227" s="18"/>
      <c r="F227" s="20"/>
      <c r="H227" s="19"/>
      <c r="I227" s="9"/>
    </row>
    <row r="228" spans="1:9" s="8" customFormat="1" ht="12" x14ac:dyDescent="0.25">
      <c r="A228" s="16"/>
      <c r="B228" s="17"/>
      <c r="C228" s="17"/>
      <c r="D228" s="21"/>
      <c r="E228" s="18"/>
      <c r="F228" s="20"/>
      <c r="H228" s="19"/>
      <c r="I228" s="9"/>
    </row>
    <row r="229" spans="1:9" s="8" customFormat="1" ht="12" x14ac:dyDescent="0.25">
      <c r="A229" s="16"/>
      <c r="B229" s="17"/>
      <c r="C229" s="17"/>
      <c r="D229" s="21"/>
      <c r="E229" s="18"/>
      <c r="F229" s="20"/>
      <c r="H229" s="19"/>
      <c r="I229" s="9"/>
    </row>
    <row r="230" spans="1:9" s="8" customFormat="1" ht="12" x14ac:dyDescent="0.25">
      <c r="A230" s="16"/>
      <c r="B230" s="17"/>
      <c r="C230" s="17"/>
      <c r="D230" s="21"/>
      <c r="E230" s="18"/>
      <c r="F230" s="20"/>
      <c r="H230" s="19"/>
      <c r="I230" s="9"/>
    </row>
    <row r="231" spans="1:9" s="8" customFormat="1" ht="12" x14ac:dyDescent="0.25">
      <c r="A231" s="16"/>
      <c r="B231" s="17"/>
      <c r="C231" s="17"/>
      <c r="D231" s="21"/>
      <c r="E231" s="18"/>
      <c r="F231" s="20"/>
      <c r="H231" s="19"/>
      <c r="I231" s="9"/>
    </row>
    <row r="232" spans="1:9" s="8" customFormat="1" ht="12" x14ac:dyDescent="0.25">
      <c r="A232" s="16"/>
      <c r="B232" s="17"/>
      <c r="C232" s="17"/>
      <c r="D232" s="21"/>
      <c r="E232" s="18"/>
      <c r="F232" s="20"/>
      <c r="H232" s="19"/>
      <c r="I232" s="9"/>
    </row>
    <row r="233" spans="1:9" s="8" customFormat="1" ht="12" x14ac:dyDescent="0.25">
      <c r="A233" s="16"/>
      <c r="B233" s="17"/>
      <c r="C233" s="17"/>
      <c r="D233" s="21"/>
      <c r="E233" s="18"/>
      <c r="F233" s="20"/>
      <c r="H233" s="19"/>
      <c r="I233" s="9"/>
    </row>
    <row r="234" spans="1:9" s="8" customFormat="1" ht="12" x14ac:dyDescent="0.25">
      <c r="A234" s="16"/>
      <c r="B234" s="17"/>
      <c r="C234" s="17"/>
      <c r="D234" s="21"/>
      <c r="E234" s="18"/>
      <c r="F234" s="20"/>
      <c r="H234" s="19"/>
      <c r="I234" s="9"/>
    </row>
    <row r="235" spans="1:9" s="8" customFormat="1" ht="12" x14ac:dyDescent="0.25">
      <c r="A235" s="16"/>
      <c r="B235" s="17"/>
      <c r="C235" s="17"/>
      <c r="D235" s="21"/>
      <c r="E235" s="18"/>
      <c r="F235" s="20"/>
      <c r="H235" s="19"/>
      <c r="I235" s="9"/>
    </row>
    <row r="236" spans="1:9" s="8" customFormat="1" ht="12" x14ac:dyDescent="0.25">
      <c r="A236" s="16"/>
      <c r="B236" s="17"/>
      <c r="C236" s="17"/>
      <c r="D236" s="21"/>
      <c r="E236" s="18"/>
      <c r="F236" s="20"/>
      <c r="H236" s="19"/>
      <c r="I236" s="9"/>
    </row>
    <row r="237" spans="1:9" s="8" customFormat="1" ht="12" x14ac:dyDescent="0.25">
      <c r="A237" s="16"/>
      <c r="B237" s="17"/>
      <c r="C237" s="17"/>
      <c r="D237" s="21"/>
      <c r="E237" s="18"/>
      <c r="F237" s="20"/>
      <c r="H237" s="19"/>
      <c r="I237" s="9"/>
    </row>
    <row r="238" spans="1:9" s="8" customFormat="1" ht="12" x14ac:dyDescent="0.25">
      <c r="A238" s="16"/>
      <c r="B238" s="17"/>
      <c r="C238" s="17"/>
      <c r="D238" s="21"/>
      <c r="E238" s="18"/>
      <c r="F238" s="20"/>
      <c r="H238" s="19"/>
      <c r="I238" s="9"/>
    </row>
    <row r="239" spans="1:9" s="8" customFormat="1" ht="12" x14ac:dyDescent="0.25">
      <c r="A239" s="16"/>
      <c r="B239" s="17"/>
      <c r="C239" s="17"/>
      <c r="D239" s="21"/>
      <c r="E239" s="18"/>
      <c r="F239" s="20"/>
      <c r="H239" s="19"/>
      <c r="I239" s="9"/>
    </row>
    <row r="240" spans="1:9" s="8" customFormat="1" ht="12" x14ac:dyDescent="0.25">
      <c r="A240" s="16"/>
      <c r="B240" s="17"/>
      <c r="C240" s="17"/>
      <c r="D240" s="21"/>
      <c r="E240" s="18"/>
      <c r="F240" s="20"/>
      <c r="H240" s="19"/>
      <c r="I240" s="9"/>
    </row>
    <row r="241" spans="1:9" s="8" customFormat="1" ht="12" x14ac:dyDescent="0.25">
      <c r="A241" s="16"/>
      <c r="B241" s="17"/>
      <c r="C241" s="17"/>
      <c r="D241" s="21"/>
      <c r="E241" s="18"/>
      <c r="F241" s="20"/>
      <c r="H241" s="19"/>
      <c r="I241" s="9"/>
    </row>
    <row r="242" spans="1:9" s="8" customFormat="1" ht="12" x14ac:dyDescent="0.25">
      <c r="A242" s="16"/>
      <c r="B242" s="17"/>
      <c r="C242" s="17"/>
      <c r="D242" s="21"/>
      <c r="E242" s="18"/>
      <c r="F242" s="20"/>
      <c r="H242" s="19"/>
      <c r="I242" s="9"/>
    </row>
    <row r="243" spans="1:9" s="8" customFormat="1" ht="12" x14ac:dyDescent="0.25">
      <c r="A243" s="16"/>
      <c r="B243" s="17"/>
      <c r="C243" s="17"/>
      <c r="D243" s="21"/>
      <c r="E243" s="18"/>
      <c r="F243" s="20"/>
      <c r="H243" s="19"/>
      <c r="I243" s="9"/>
    </row>
    <row r="244" spans="1:9" s="8" customFormat="1" ht="12" x14ac:dyDescent="0.25">
      <c r="A244" s="16"/>
      <c r="B244" s="17"/>
      <c r="C244" s="17"/>
      <c r="D244" s="21"/>
      <c r="E244" s="18"/>
      <c r="F244" s="20"/>
      <c r="H244" s="19"/>
      <c r="I244" s="9"/>
    </row>
    <row r="245" spans="1:9" s="8" customFormat="1" ht="12" x14ac:dyDescent="0.25">
      <c r="A245" s="16"/>
      <c r="B245" s="17"/>
      <c r="C245" s="17"/>
      <c r="D245" s="21"/>
      <c r="E245" s="18"/>
      <c r="F245" s="20"/>
      <c r="H245" s="19"/>
      <c r="I245" s="9"/>
    </row>
    <row r="246" spans="1:9" s="8" customFormat="1" ht="12" x14ac:dyDescent="0.25">
      <c r="A246" s="16"/>
      <c r="B246" s="17"/>
      <c r="C246" s="17"/>
      <c r="D246" s="21"/>
      <c r="E246" s="18"/>
      <c r="F246" s="20"/>
      <c r="H246" s="19"/>
      <c r="I246" s="9"/>
    </row>
    <row r="247" spans="1:9" s="8" customFormat="1" ht="12" x14ac:dyDescent="0.25">
      <c r="A247" s="16"/>
      <c r="B247" s="17"/>
      <c r="C247" s="17"/>
      <c r="D247" s="21"/>
      <c r="E247" s="18"/>
      <c r="F247" s="20"/>
      <c r="H247" s="19"/>
      <c r="I247" s="9"/>
    </row>
    <row r="248" spans="1:9" s="8" customFormat="1" ht="12" x14ac:dyDescent="0.25">
      <c r="A248" s="16"/>
      <c r="B248" s="17"/>
      <c r="C248" s="17"/>
      <c r="D248" s="21"/>
      <c r="E248" s="18"/>
      <c r="F248" s="20"/>
      <c r="H248" s="19"/>
      <c r="I248" s="9"/>
    </row>
    <row r="249" spans="1:9" s="8" customFormat="1" ht="12" x14ac:dyDescent="0.25">
      <c r="A249" s="16"/>
      <c r="B249" s="17"/>
      <c r="C249" s="17"/>
      <c r="D249" s="21"/>
      <c r="E249" s="18"/>
      <c r="F249" s="20"/>
      <c r="H249" s="19"/>
      <c r="I249" s="9"/>
    </row>
    <row r="250" spans="1:9" s="8" customFormat="1" ht="12" x14ac:dyDescent="0.25">
      <c r="A250" s="16"/>
      <c r="B250" s="17"/>
      <c r="C250" s="17"/>
      <c r="D250" s="21"/>
      <c r="E250" s="18"/>
      <c r="F250" s="20"/>
      <c r="H250" s="19"/>
      <c r="I250" s="9"/>
    </row>
    <row r="251" spans="1:9" s="8" customFormat="1" ht="12" x14ac:dyDescent="0.25">
      <c r="A251" s="16"/>
      <c r="B251" s="17"/>
      <c r="C251" s="17"/>
      <c r="D251" s="21"/>
      <c r="E251" s="18"/>
      <c r="F251" s="20"/>
      <c r="H251" s="19"/>
      <c r="I251" s="9"/>
    </row>
    <row r="252" spans="1:9" s="8" customFormat="1" ht="12" x14ac:dyDescent="0.25">
      <c r="A252" s="16"/>
      <c r="B252" s="17"/>
      <c r="C252" s="17"/>
      <c r="D252" s="21"/>
      <c r="E252" s="18"/>
      <c r="F252" s="20"/>
      <c r="H252" s="19"/>
      <c r="I252" s="9"/>
    </row>
    <row r="253" spans="1:9" s="8" customFormat="1" ht="12" x14ac:dyDescent="0.25">
      <c r="A253" s="16"/>
      <c r="B253" s="17"/>
      <c r="C253" s="17"/>
      <c r="D253" s="21"/>
      <c r="E253" s="18"/>
      <c r="F253" s="20"/>
      <c r="H253" s="19"/>
      <c r="I253" s="9"/>
    </row>
    <row r="254" spans="1:9" s="8" customFormat="1" ht="12" x14ac:dyDescent="0.25">
      <c r="A254" s="16"/>
      <c r="B254" s="17"/>
      <c r="C254" s="17"/>
      <c r="D254" s="21"/>
      <c r="E254" s="18"/>
      <c r="F254" s="20"/>
      <c r="H254" s="19"/>
      <c r="I254" s="9"/>
    </row>
  </sheetData>
  <autoFilter ref="A1:K10" xr:uid="{00000000-0009-0000-0000-000001000000}">
    <sortState xmlns:xlrd2="http://schemas.microsoft.com/office/spreadsheetml/2017/richdata2" ref="A2:L80">
      <sortCondition ref="E1:E10"/>
    </sortState>
  </autoFilter>
  <conditionalFormatting sqref="D255:D1048576 D1:D3 D111 D115 D119 D123 D127 D131 D135 D139 D143 D147 D151 D155 D159 D163 D167 D171 D175 D7:D9 D13:D15 D103:D104 D108:D109 D19:D21 D25:D27 D43:D45 D61:D63 D79:D81 D97:D99 D31:D33 D49:D51 D67:D69 D85:D87 D37:D39 D55:D57 D73:D75 D91:D93">
    <cfRule type="duplicateValues" dxfId="27" priority="8"/>
  </conditionalFormatting>
  <conditionalFormatting sqref="D112 D116 D120 D124 D128 D132 D136 D140 D144 D148 D152 D156 D160 D164 D168 D172 D176">
    <cfRule type="duplicateValues" dxfId="26" priority="7"/>
  </conditionalFormatting>
  <conditionalFormatting sqref="D110 D113:D114 D117:D118 D121:D122 D125:D126 D129:D130 D133:D134 D137:D138 D141:D142 D145:D146 D149:D150 D153:D154 D157:D158 D161:D162 D165:D166 D169:D170 D173:D174 D177">
    <cfRule type="duplicateValues" dxfId="25" priority="5"/>
  </conditionalFormatting>
  <conditionalFormatting sqref="F3:F109 B3:C109">
    <cfRule type="beginsWith" dxfId="24" priority="9" operator="beginsWith" text="[K_">
      <formula>LEFT(#REF!,LEN("[K_"))="[K_"</formula>
    </cfRule>
  </conditionalFormatting>
  <conditionalFormatting sqref="F110:F177 B110:C177">
    <cfRule type="beginsWith" dxfId="23" priority="6" operator="beginsWith" text="[K_">
      <formula>LEFT(#REF!,LEN("[K_"))="[K_"</formula>
    </cfRule>
  </conditionalFormatting>
  <conditionalFormatting sqref="D178:D254">
    <cfRule type="duplicateValues" dxfId="22" priority="3"/>
  </conditionalFormatting>
  <conditionalFormatting sqref="F178:F254 B178:C254">
    <cfRule type="beginsWith" dxfId="21" priority="4" operator="beginsWith" text="[K_">
      <formula>LEFT(#REF!,LEN("[K_"))="[K_"</formula>
    </cfRule>
  </conditionalFormatting>
  <conditionalFormatting sqref="D4:D6 D10:D12 D16:D18 D105:D107 D22:D24 D40:D42 D58:D60 D76:D78 D94:D96 D28:D30 D46:D48 D64:D66 D82:D84 D100:D102 D34:D36 D52:D54 D70:D72 D88:D90">
    <cfRule type="duplicateValues" dxfId="20" priority="2"/>
  </conditionalFormatting>
  <conditionalFormatting sqref="E1:E1048576">
    <cfRule type="duplicateValues" dxfId="19"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9DB6-6820-4CE6-A2B4-1F5AB068EC42}">
  <dimension ref="A1:K249"/>
  <sheetViews>
    <sheetView tabSelected="1" zoomScale="130" zoomScaleNormal="130" workbookViewId="0">
      <selection activeCell="D76" sqref="D12:D76"/>
    </sheetView>
  </sheetViews>
  <sheetFormatPr baseColWidth="10" defaultColWidth="11.42578125" defaultRowHeight="15" x14ac:dyDescent="0.25"/>
  <cols>
    <col min="1" max="1" width="3.28515625" style="11" customWidth="1"/>
    <col min="2" max="3" width="4.140625" customWidth="1"/>
    <col min="4" max="4" width="17.5703125" style="13" bestFit="1" customWidth="1"/>
    <col min="5" max="5" width="36.140625" style="7" bestFit="1" customWidth="1"/>
    <col min="6" max="6" width="10.140625" style="13" customWidth="1"/>
    <col min="7" max="7" width="9.7109375" customWidth="1"/>
    <col min="8" max="8" width="25.28515625" customWidth="1"/>
    <col min="9" max="9" width="17.42578125" style="10" customWidth="1"/>
  </cols>
  <sheetData>
    <row r="1" spans="1:11" s="15" customFormat="1" x14ac:dyDescent="0.25">
      <c r="A1" s="14" t="s">
        <v>4</v>
      </c>
      <c r="B1" s="15" t="s">
        <v>0</v>
      </c>
      <c r="C1" s="15" t="s">
        <v>1</v>
      </c>
      <c r="D1" t="s">
        <v>24</v>
      </c>
      <c r="E1" t="s">
        <v>25</v>
      </c>
      <c r="F1" t="s">
        <v>26</v>
      </c>
      <c r="H1" s="15" t="s">
        <v>5</v>
      </c>
      <c r="I1" s="15" t="s">
        <v>300</v>
      </c>
      <c r="J1" s="15" t="s">
        <v>2</v>
      </c>
      <c r="K1" s="15" t="str">
        <f>CONCATENATE($H$1,$I$1,$J$1,B3, ", ", C3, ", ", )</f>
        <v xml:space="preserve">EXECUTE [dbo].[PG_CI_TIPO_ORDEN_TRABAJO] 0, 0, </v>
      </c>
    </row>
    <row r="2" spans="1:11" s="8" customFormat="1" x14ac:dyDescent="0.25">
      <c r="A2" s="3"/>
      <c r="B2" s="5" t="s">
        <v>3</v>
      </c>
      <c r="C2" s="5" t="s">
        <v>3</v>
      </c>
      <c r="D2" s="12" t="s">
        <v>3</v>
      </c>
      <c r="E2" s="6" t="s">
        <v>3</v>
      </c>
      <c r="F2" s="12" t="s">
        <v>3</v>
      </c>
      <c r="G2" s="1"/>
      <c r="H2" s="2" t="str">
        <f>"-- =========================================================="</f>
        <v>-- ==========================================================</v>
      </c>
      <c r="J2" s="4"/>
      <c r="K2" s="1"/>
    </row>
    <row r="3" spans="1:11" s="8" customFormat="1" ht="12" x14ac:dyDescent="0.25">
      <c r="A3" s="16"/>
      <c r="B3" s="17">
        <v>0</v>
      </c>
      <c r="C3" s="17">
        <v>0</v>
      </c>
      <c r="D3" s="21">
        <v>1</v>
      </c>
      <c r="E3" s="18"/>
      <c r="F3" s="20">
        <v>1</v>
      </c>
      <c r="H3" s="19" t="str">
        <f>CONCATENATE(CI_TIPO!$K$1,D3,",'",E3,"', ",F3,"")</f>
        <v>EXECUTE [dbo].[PG_CI_TIPO_ORDEN_TRABAJO] 0, 0, 1,'', 1</v>
      </c>
      <c r="I3" s="9"/>
    </row>
    <row r="4" spans="1:11" s="8" customFormat="1" ht="12" x14ac:dyDescent="0.25">
      <c r="A4" s="16"/>
      <c r="B4" s="17">
        <v>0</v>
      </c>
      <c r="C4" s="17">
        <v>0</v>
      </c>
      <c r="D4" s="21">
        <v>2</v>
      </c>
      <c r="E4" s="18" t="s">
        <v>344</v>
      </c>
      <c r="F4" s="20">
        <v>1</v>
      </c>
      <c r="H4" s="19" t="str">
        <f>CONCATENATE(CI_TIPO!$K$1,D4,",'",E4,"', ",F4,"")</f>
        <v>EXECUTE [dbo].[PG_CI_TIPO_ORDEN_TRABAJO] 0, 0, 2,'Fabricación Dado', 1</v>
      </c>
      <c r="I4" s="9"/>
    </row>
    <row r="5" spans="1:11" s="8" customFormat="1" ht="12" x14ac:dyDescent="0.25">
      <c r="A5" s="16"/>
      <c r="B5" s="17">
        <v>0</v>
      </c>
      <c r="C5" s="17">
        <v>0</v>
      </c>
      <c r="D5" s="21">
        <v>3</v>
      </c>
      <c r="E5" s="18" t="s">
        <v>343</v>
      </c>
      <c r="F5" s="20">
        <v>1</v>
      </c>
      <c r="H5" s="19" t="str">
        <f>CONCATENATE(CI_TIPO!$K$1,D5,",'",E5,"', ",F5,"")</f>
        <v>EXECUTE [dbo].[PG_CI_TIPO_ORDEN_TRABAJO] 0, 0, 3,'Mantenimiento Dado', 1</v>
      </c>
      <c r="I5" s="9"/>
    </row>
    <row r="6" spans="1:11" x14ac:dyDescent="0.25">
      <c r="A6" s="16"/>
      <c r="B6" s="17">
        <v>0</v>
      </c>
      <c r="C6" s="17">
        <v>0</v>
      </c>
      <c r="D6" s="21">
        <v>4</v>
      </c>
      <c r="E6" s="18" t="s">
        <v>345</v>
      </c>
      <c r="F6" s="20">
        <v>1</v>
      </c>
      <c r="G6" s="8"/>
      <c r="H6" s="19" t="str">
        <f>CONCATENATE(CI_TIPO!$K$1,D6,",'",E6,"', ",F6,"")</f>
        <v>EXECUTE [dbo].[PG_CI_TIPO_ORDEN_TRABAJO] 0, 0, 4,'Reparación Dado', 1</v>
      </c>
      <c r="I6" s="9"/>
      <c r="J6" s="8"/>
      <c r="K6" s="8"/>
    </row>
    <row r="7" spans="1:11" s="8" customFormat="1" ht="12" x14ac:dyDescent="0.25">
      <c r="A7" s="16"/>
      <c r="B7" s="17">
        <v>0</v>
      </c>
      <c r="C7" s="17">
        <v>0</v>
      </c>
      <c r="D7" s="21">
        <v>5</v>
      </c>
      <c r="E7" s="18"/>
      <c r="F7" s="20">
        <v>1</v>
      </c>
      <c r="H7" s="19" t="str">
        <f>CONCATENATE(CI_TIPO!$K$1,D7,",'",E7,"', ",F7,"")</f>
        <v>EXECUTE [dbo].[PG_CI_TIPO_ORDEN_TRABAJO] 0, 0, 5,'', 1</v>
      </c>
      <c r="I7" s="9"/>
    </row>
    <row r="8" spans="1:11" s="8" customFormat="1" ht="12" x14ac:dyDescent="0.25">
      <c r="A8" s="16"/>
      <c r="B8" s="17">
        <v>0</v>
      </c>
      <c r="C8" s="17">
        <v>0</v>
      </c>
      <c r="D8" s="21">
        <v>6</v>
      </c>
      <c r="E8" s="18"/>
      <c r="F8" s="20">
        <v>1</v>
      </c>
      <c r="H8" s="19" t="str">
        <f>CONCATENATE(CI_TIPO!$K$1,D8,",'",E8,"', ",F8,"")</f>
        <v>EXECUTE [dbo].[PG_CI_TIPO_ORDEN_TRABAJO] 0, 0, 6,'', 1</v>
      </c>
      <c r="I8" s="9"/>
    </row>
    <row r="9" spans="1:11" s="8" customFormat="1" ht="12" x14ac:dyDescent="0.25">
      <c r="A9" s="16"/>
      <c r="B9" s="17">
        <v>0</v>
      </c>
      <c r="C9" s="17">
        <v>0</v>
      </c>
      <c r="D9" s="21">
        <v>7</v>
      </c>
      <c r="E9" s="18"/>
      <c r="F9" s="20">
        <v>1</v>
      </c>
      <c r="H9" s="19" t="str">
        <f>CONCATENATE(CI_TIPO!$K$1,D9,",'",E9,"', ",F9,"")</f>
        <v>EXECUTE [dbo].[PG_CI_TIPO_ORDEN_TRABAJO] 0, 0, 7,'', 1</v>
      </c>
      <c r="I9" s="9"/>
    </row>
    <row r="10" spans="1:11" s="8" customFormat="1" ht="12" x14ac:dyDescent="0.25">
      <c r="A10" s="16"/>
      <c r="B10" s="17">
        <v>0</v>
      </c>
      <c r="C10" s="17">
        <v>0</v>
      </c>
      <c r="D10" s="21">
        <v>8</v>
      </c>
      <c r="E10" s="18"/>
      <c r="F10" s="20">
        <v>1</v>
      </c>
      <c r="H10" s="19" t="str">
        <f>CONCATENATE(CI_TIPO!$K$1,D10,",'",E10,"', ",F10,"")</f>
        <v>EXECUTE [dbo].[PG_CI_TIPO_ORDEN_TRABAJO] 0, 0, 8,'', 1</v>
      </c>
      <c r="I10" s="9"/>
    </row>
    <row r="11" spans="1:11" s="8" customFormat="1" ht="12" x14ac:dyDescent="0.25">
      <c r="A11" s="16"/>
      <c r="B11" s="17">
        <v>0</v>
      </c>
      <c r="C11" s="17">
        <v>0</v>
      </c>
      <c r="D11" s="21">
        <v>9</v>
      </c>
      <c r="E11" s="18"/>
      <c r="F11" s="20">
        <v>1</v>
      </c>
      <c r="H11" s="19" t="str">
        <f>CONCATENATE(CI_TIPO!$K$1,D11,",'",E11,"', ",F11,"")</f>
        <v>EXECUTE [dbo].[PG_CI_TIPO_ORDEN_TRABAJO] 0, 0, 9,'', 1</v>
      </c>
      <c r="I11" s="9"/>
    </row>
    <row r="12" spans="1:11" s="8" customFormat="1" ht="12" x14ac:dyDescent="0.25">
      <c r="A12" s="16"/>
      <c r="B12" s="17">
        <v>0</v>
      </c>
      <c r="C12" s="17">
        <v>0</v>
      </c>
      <c r="D12" s="21">
        <v>10</v>
      </c>
      <c r="E12" s="18" t="s">
        <v>301</v>
      </c>
      <c r="F12" s="20">
        <v>1</v>
      </c>
      <c r="H12" s="19" t="str">
        <f>CONCATENATE(CI_TIPO!$K$1,D12,",'",E12,"', ",F12,"")</f>
        <v>EXECUTE [dbo].[PG_CI_TIPO_ORDEN_TRABAJO] 0, 0, 10,'Ajuste', 1</v>
      </c>
      <c r="I12" s="9"/>
    </row>
    <row r="13" spans="1:11" s="8" customFormat="1" ht="12" x14ac:dyDescent="0.25">
      <c r="A13" s="16"/>
      <c r="B13" s="17">
        <v>0</v>
      </c>
      <c r="C13" s="17">
        <v>0</v>
      </c>
      <c r="D13" s="21">
        <v>11</v>
      </c>
      <c r="E13" s="18" t="s">
        <v>206</v>
      </c>
      <c r="F13" s="20">
        <v>1</v>
      </c>
      <c r="H13" s="19" t="str">
        <f>CONCATENATE(CI_TIPO!$K$1,D13,",'",E13,"', ",F13,"")</f>
        <v>EXECUTE [dbo].[PG_CI_TIPO_ORDEN_TRABAJO] 0, 0, 11,'Banda floja', 1</v>
      </c>
      <c r="I13" s="9"/>
    </row>
    <row r="14" spans="1:11" s="8" customFormat="1" ht="12" x14ac:dyDescent="0.25">
      <c r="A14" s="16"/>
      <c r="B14" s="17">
        <v>0</v>
      </c>
      <c r="C14" s="17">
        <v>0</v>
      </c>
      <c r="D14" s="21">
        <v>12</v>
      </c>
      <c r="E14" s="18" t="s">
        <v>327</v>
      </c>
      <c r="F14" s="20">
        <v>1</v>
      </c>
      <c r="H14" s="19" t="str">
        <f>CONCATENATE(CI_TIPO!$K$1,D14,",'",E14,"', ",F14,"")</f>
        <v>EXECUTE [dbo].[PG_CI_TIPO_ORDEN_TRABAJO] 0, 0, 12,'Bomba dañada', 1</v>
      </c>
      <c r="I14" s="9"/>
    </row>
    <row r="15" spans="1:11" s="8" customFormat="1" ht="12" x14ac:dyDescent="0.25">
      <c r="A15" s="16"/>
      <c r="B15" s="17">
        <v>0</v>
      </c>
      <c r="C15" s="17">
        <v>0</v>
      </c>
      <c r="D15" s="21">
        <v>13</v>
      </c>
      <c r="E15" s="18" t="s">
        <v>212</v>
      </c>
      <c r="F15" s="20">
        <v>1</v>
      </c>
      <c r="H15" s="19" t="str">
        <f>CONCATENATE(CI_TIPO!$K$1,D15,",'",E15,"', ",F15,"")</f>
        <v>EXECUTE [dbo].[PG_CI_TIPO_ORDEN_TRABAJO] 0, 0, 13,'Cable suelto', 1</v>
      </c>
      <c r="I15" s="9"/>
    </row>
    <row r="16" spans="1:11" s="8" customFormat="1" ht="12" x14ac:dyDescent="0.25">
      <c r="A16" s="16"/>
      <c r="B16" s="17">
        <v>0</v>
      </c>
      <c r="C16" s="17">
        <v>0</v>
      </c>
      <c r="D16" s="21">
        <v>14</v>
      </c>
      <c r="E16" s="18" t="s">
        <v>265</v>
      </c>
      <c r="F16" s="20">
        <v>1</v>
      </c>
      <c r="H16" s="19" t="str">
        <f>CONCATENATE(CI_TIPO!$K$1,D16,",'",E16,"', ",F16,"")</f>
        <v>EXECUTE [dbo].[PG_CI_TIPO_ORDEN_TRABAJO] 0, 0, 14,'Cadena dañada', 1</v>
      </c>
      <c r="I16" s="9"/>
    </row>
    <row r="17" spans="1:9" s="8" customFormat="1" ht="12" x14ac:dyDescent="0.25">
      <c r="A17" s="16"/>
      <c r="B17" s="17">
        <v>0</v>
      </c>
      <c r="C17" s="17">
        <v>0</v>
      </c>
      <c r="D17" s="21">
        <v>15</v>
      </c>
      <c r="E17" s="18" t="s">
        <v>266</v>
      </c>
      <c r="F17" s="20">
        <v>1</v>
      </c>
      <c r="H17" s="19" t="str">
        <f>CONCATENATE(CI_TIPO!$K$1,D17,",'",E17,"', ",F17,"")</f>
        <v>EXECUTE [dbo].[PG_CI_TIPO_ORDEN_TRABAJO] 0, 0, 15,'Carrito dañado', 1</v>
      </c>
      <c r="I17" s="9"/>
    </row>
    <row r="18" spans="1:9" s="8" customFormat="1" ht="12" x14ac:dyDescent="0.25">
      <c r="A18" s="16"/>
      <c r="B18" s="17">
        <v>0</v>
      </c>
      <c r="C18" s="17">
        <v>0</v>
      </c>
      <c r="D18" s="21">
        <v>16</v>
      </c>
      <c r="E18" s="18" t="s">
        <v>328</v>
      </c>
      <c r="F18" s="20">
        <v>1</v>
      </c>
      <c r="H18" s="19" t="str">
        <f>CONCATENATE(CI_TIPO!$K$1,D18,",'",E18,"', ",F18,"")</f>
        <v>EXECUTE [dbo].[PG_CI_TIPO_ORDEN_TRABAJO] 0, 0, 16,'Chumacera dañada', 1</v>
      </c>
      <c r="I18" s="9"/>
    </row>
    <row r="19" spans="1:9" s="8" customFormat="1" ht="12" x14ac:dyDescent="0.25">
      <c r="A19" s="16"/>
      <c r="B19" s="17">
        <v>0</v>
      </c>
      <c r="C19" s="17">
        <v>0</v>
      </c>
      <c r="D19" s="21">
        <v>17</v>
      </c>
      <c r="E19" s="18" t="s">
        <v>302</v>
      </c>
      <c r="F19" s="20">
        <v>1</v>
      </c>
      <c r="H19" s="19" t="str">
        <f>CONCATENATE(CI_TIPO!$K$1,D19,",'",E19,"', ",F19,"")</f>
        <v>EXECUTE [dbo].[PG_CI_TIPO_ORDEN_TRABAJO] 0, 0, 17,'Desgaste de filo', 1</v>
      </c>
      <c r="I19" s="9"/>
    </row>
    <row r="20" spans="1:9" s="8" customFormat="1" ht="12" x14ac:dyDescent="0.25">
      <c r="A20" s="16"/>
      <c r="B20" s="17">
        <v>0</v>
      </c>
      <c r="C20" s="17">
        <v>0</v>
      </c>
      <c r="D20" s="21">
        <v>18</v>
      </c>
      <c r="E20" s="18" t="s">
        <v>303</v>
      </c>
      <c r="F20" s="20">
        <v>1</v>
      </c>
      <c r="H20" s="19" t="str">
        <f>CONCATENATE(CI_TIPO!$K$1,D20,",'",E20,"', ",F20,"")</f>
        <v>EXECUTE [dbo].[PG_CI_TIPO_ORDEN_TRABAJO] 0, 0, 18,'Desgaste de navaja', 1</v>
      </c>
      <c r="I20" s="9"/>
    </row>
    <row r="21" spans="1:9" s="8" customFormat="1" ht="12" x14ac:dyDescent="0.25">
      <c r="A21" s="16"/>
      <c r="B21" s="17">
        <v>0</v>
      </c>
      <c r="C21" s="17">
        <v>0</v>
      </c>
      <c r="D21" s="21">
        <v>19</v>
      </c>
      <c r="E21" s="18" t="s">
        <v>329</v>
      </c>
      <c r="F21" s="20">
        <v>1</v>
      </c>
      <c r="H21" s="19" t="str">
        <f>CONCATENATE(CI_TIPO!$K$1,D21,",'",E21,"', ",F21,"")</f>
        <v>EXECUTE [dbo].[PG_CI_TIPO_ORDEN_TRABAJO] 0, 0, 19,'Fabricación', 1</v>
      </c>
      <c r="I21" s="9"/>
    </row>
    <row r="22" spans="1:9" s="8" customFormat="1" ht="12" x14ac:dyDescent="0.25">
      <c r="A22" s="16"/>
      <c r="B22" s="17">
        <v>0</v>
      </c>
      <c r="C22" s="17">
        <v>0</v>
      </c>
      <c r="D22" s="21">
        <v>20</v>
      </c>
      <c r="E22" s="18" t="s">
        <v>304</v>
      </c>
      <c r="F22" s="20">
        <v>1</v>
      </c>
      <c r="H22" s="19" t="str">
        <f>CONCATENATE(CI_TIPO!$K$1,D22,",'",E22,"', ",F22,"")</f>
        <v>EXECUTE [dbo].[PG_CI_TIPO_ORDEN_TRABAJO] 0, 0, 20,'Falla de amortiguador', 1</v>
      </c>
      <c r="I22" s="9"/>
    </row>
    <row r="23" spans="1:9" s="8" customFormat="1" ht="12" x14ac:dyDescent="0.25">
      <c r="A23" s="16"/>
      <c r="B23" s="17">
        <v>0</v>
      </c>
      <c r="C23" s="17">
        <v>0</v>
      </c>
      <c r="D23" s="21">
        <v>21</v>
      </c>
      <c r="E23" s="18" t="s">
        <v>305</v>
      </c>
      <c r="F23" s="20">
        <v>1</v>
      </c>
      <c r="H23" s="19" t="str">
        <f>CONCATENATE(CI_TIPO!$K$1,D23,",'",E23,"', ",F23,"")</f>
        <v>EXECUTE [dbo].[PG_CI_TIPO_ORDEN_TRABAJO] 0, 0, 21,'Falla de chainblock', 1</v>
      </c>
      <c r="I23" s="9"/>
    </row>
    <row r="24" spans="1:9" s="8" customFormat="1" ht="12" x14ac:dyDescent="0.25">
      <c r="A24" s="16"/>
      <c r="B24" s="17">
        <v>0</v>
      </c>
      <c r="C24" s="17">
        <v>0</v>
      </c>
      <c r="D24" s="21">
        <v>22</v>
      </c>
      <c r="E24" s="18" t="s">
        <v>219</v>
      </c>
      <c r="F24" s="20">
        <v>1</v>
      </c>
      <c r="H24" s="19" t="str">
        <f>CONCATENATE(CI_TIPO!$K$1,D24,",'",E24,"', ",F24,"")</f>
        <v>EXECUTE [dbo].[PG_CI_TIPO_ORDEN_TRABAJO] 0, 0, 22,'Falla de corte', 1</v>
      </c>
      <c r="I24" s="9"/>
    </row>
    <row r="25" spans="1:9" s="8" customFormat="1" ht="12" x14ac:dyDescent="0.25">
      <c r="A25" s="16"/>
      <c r="B25" s="17">
        <v>0</v>
      </c>
      <c r="C25" s="17">
        <v>0</v>
      </c>
      <c r="D25" s="21">
        <v>23</v>
      </c>
      <c r="E25" s="18" t="s">
        <v>220</v>
      </c>
      <c r="F25" s="20">
        <v>1</v>
      </c>
      <c r="H25" s="19" t="str">
        <f>CONCATENATE(CI_TIPO!$K$1,D25,",'",E25,"', ",F25,"")</f>
        <v>EXECUTE [dbo].[PG_CI_TIPO_ORDEN_TRABAJO] 0, 0, 23,'Falla de costura', 1</v>
      </c>
      <c r="I25" s="9"/>
    </row>
    <row r="26" spans="1:9" s="8" customFormat="1" ht="12" x14ac:dyDescent="0.25">
      <c r="A26" s="16"/>
      <c r="B26" s="17">
        <v>0</v>
      </c>
      <c r="C26" s="17">
        <v>0</v>
      </c>
      <c r="D26" s="21">
        <v>24</v>
      </c>
      <c r="E26" s="18" t="s">
        <v>306</v>
      </c>
      <c r="F26" s="20">
        <v>1</v>
      </c>
      <c r="H26" s="19" t="str">
        <f>CONCATENATE(CI_TIPO!$K$1,D26,",'",E26,"', ",F26,"")</f>
        <v>EXECUTE [dbo].[PG_CI_TIPO_ORDEN_TRABAJO] 0, 0, 24,'Falla de drenaje', 1</v>
      </c>
      <c r="I26" s="9"/>
    </row>
    <row r="27" spans="1:9" s="8" customFormat="1" ht="12" x14ac:dyDescent="0.25">
      <c r="A27" s="16"/>
      <c r="B27" s="17">
        <v>0</v>
      </c>
      <c r="C27" s="17">
        <v>0</v>
      </c>
      <c r="D27" s="21">
        <v>25</v>
      </c>
      <c r="E27" s="18" t="s">
        <v>307</v>
      </c>
      <c r="F27" s="20">
        <v>1</v>
      </c>
      <c r="H27" s="19" t="str">
        <f>CONCATENATE(CI_TIPO!$K$1,D27,",'",E27,"', ",F27,"")</f>
        <v>EXECUTE [dbo].[PG_CI_TIPO_ORDEN_TRABAJO] 0, 0, 25,'Falla de evaporativo', 1</v>
      </c>
      <c r="I27" s="9"/>
    </row>
    <row r="28" spans="1:9" s="8" customFormat="1" ht="12" x14ac:dyDescent="0.25">
      <c r="A28" s="16"/>
      <c r="B28" s="17">
        <v>0</v>
      </c>
      <c r="C28" s="17">
        <v>0</v>
      </c>
      <c r="D28" s="21">
        <v>26</v>
      </c>
      <c r="E28" s="18" t="s">
        <v>221</v>
      </c>
      <c r="F28" s="20">
        <v>1</v>
      </c>
      <c r="H28" s="19" t="str">
        <f>CONCATENATE(CI_TIPO!$K$1,D28,",'",E28,"', ",F28,"")</f>
        <v>EXECUTE [dbo].[PG_CI_TIPO_ORDEN_TRABAJO] 0, 0, 26,'Falla de fusible', 1</v>
      </c>
      <c r="I28" s="9"/>
    </row>
    <row r="29" spans="1:9" s="8" customFormat="1" ht="12" x14ac:dyDescent="0.25">
      <c r="A29" s="16"/>
      <c r="B29" s="17">
        <v>0</v>
      </c>
      <c r="C29" s="17">
        <v>0</v>
      </c>
      <c r="D29" s="21">
        <v>27</v>
      </c>
      <c r="E29" s="18" t="s">
        <v>308</v>
      </c>
      <c r="F29" s="20">
        <v>1</v>
      </c>
      <c r="H29" s="19" t="str">
        <f>CONCATENATE(CI_TIPO!$K$1,D29,",'",E29,"', ",F29,"")</f>
        <v>EXECUTE [dbo].[PG_CI_TIPO_ORDEN_TRABAJO] 0, 0, 27,'Falla de instalaciones', 1</v>
      </c>
      <c r="I29" s="9"/>
    </row>
    <row r="30" spans="1:9" s="8" customFormat="1" ht="12" x14ac:dyDescent="0.25">
      <c r="A30" s="16"/>
      <c r="B30" s="17">
        <v>0</v>
      </c>
      <c r="C30" s="17">
        <v>0</v>
      </c>
      <c r="D30" s="21">
        <v>28</v>
      </c>
      <c r="E30" s="18" t="s">
        <v>222</v>
      </c>
      <c r="F30" s="20">
        <v>1</v>
      </c>
      <c r="H30" s="19" t="str">
        <f>CONCATENATE(CI_TIPO!$K$1,D30,",'",E30,"', ",F30,"")</f>
        <v>EXECUTE [dbo].[PG_CI_TIPO_ORDEN_TRABAJO] 0, 0, 28,'Falla de lampara', 1</v>
      </c>
      <c r="I30" s="9"/>
    </row>
    <row r="31" spans="1:9" s="8" customFormat="1" ht="12" x14ac:dyDescent="0.25">
      <c r="A31" s="16"/>
      <c r="B31" s="17">
        <v>0</v>
      </c>
      <c r="C31" s="17">
        <v>0</v>
      </c>
      <c r="D31" s="21">
        <v>29</v>
      </c>
      <c r="E31" s="18" t="s">
        <v>272</v>
      </c>
      <c r="F31" s="20">
        <v>1</v>
      </c>
      <c r="H31" s="19" t="str">
        <f>CONCATENATE(CI_TIPO!$K$1,D31,",'",E31,"', ",F31,"")</f>
        <v>EXECUTE [dbo].[PG_CI_TIPO_ORDEN_TRABAJO] 0, 0, 29,'Falla de máquina', 1</v>
      </c>
      <c r="I31" s="9"/>
    </row>
    <row r="32" spans="1:9" s="8" customFormat="1" ht="12" x14ac:dyDescent="0.25">
      <c r="A32" s="16"/>
      <c r="B32" s="17">
        <v>0</v>
      </c>
      <c r="C32" s="17">
        <v>0</v>
      </c>
      <c r="D32" s="21">
        <v>30</v>
      </c>
      <c r="E32" s="18" t="s">
        <v>309</v>
      </c>
      <c r="F32" s="20">
        <v>1</v>
      </c>
      <c r="H32" s="19" t="str">
        <f>CONCATENATE(CI_TIPO!$K$1,D32,",'",E32,"', ",F32,"")</f>
        <v>EXECUTE [dbo].[PG_CI_TIPO_ORDEN_TRABAJO] 0, 0, 30,'Falla de mesa', 1</v>
      </c>
      <c r="I32" s="9"/>
    </row>
    <row r="33" spans="1:9" s="8" customFormat="1" ht="12" x14ac:dyDescent="0.25">
      <c r="A33" s="16"/>
      <c r="B33" s="17">
        <v>0</v>
      </c>
      <c r="C33" s="17">
        <v>0</v>
      </c>
      <c r="D33" s="21">
        <v>31</v>
      </c>
      <c r="E33" s="18" t="s">
        <v>310</v>
      </c>
      <c r="F33" s="20">
        <v>1</v>
      </c>
      <c r="H33" s="19" t="str">
        <f>CONCATENATE(CI_TIPO!$K$1,D33,",'",E33,"', ",F33,"")</f>
        <v>EXECUTE [dbo].[PG_CI_TIPO_ORDEN_TRABAJO] 0, 0, 31,'Falla de minisplt', 1</v>
      </c>
      <c r="I33" s="9"/>
    </row>
    <row r="34" spans="1:9" s="8" customFormat="1" ht="12" x14ac:dyDescent="0.25">
      <c r="A34" s="16"/>
      <c r="B34" s="17">
        <v>0</v>
      </c>
      <c r="C34" s="17">
        <v>0</v>
      </c>
      <c r="D34" s="21">
        <v>32</v>
      </c>
      <c r="E34" s="18" t="s">
        <v>311</v>
      </c>
      <c r="F34" s="20">
        <v>1</v>
      </c>
      <c r="H34" s="19" t="str">
        <f>CONCATENATE(CI_TIPO!$K$1,D34,",'",E34,"', ",F34,"")</f>
        <v>EXECUTE [dbo].[PG_CI_TIPO_ORDEN_TRABAJO] 0, 0, 32,'Falla de nivel', 1</v>
      </c>
      <c r="I34" s="9"/>
    </row>
    <row r="35" spans="1:9" s="8" customFormat="1" ht="12" x14ac:dyDescent="0.25">
      <c r="A35" s="16"/>
      <c r="B35" s="17">
        <v>0</v>
      </c>
      <c r="C35" s="17">
        <v>0</v>
      </c>
      <c r="D35" s="21">
        <v>33</v>
      </c>
      <c r="E35" s="18" t="s">
        <v>312</v>
      </c>
      <c r="F35" s="20">
        <v>1</v>
      </c>
      <c r="H35" s="19" t="str">
        <f>CONCATENATE(CI_TIPO!$K$1,D35,",'",E35,"', ",F35,"")</f>
        <v>EXECUTE [dbo].[PG_CI_TIPO_ORDEN_TRABAJO] 0, 0, 33,'Falla de operador', 1</v>
      </c>
      <c r="I35" s="9"/>
    </row>
    <row r="36" spans="1:9" s="8" customFormat="1" ht="12" x14ac:dyDescent="0.25">
      <c r="A36" s="16"/>
      <c r="B36" s="17">
        <v>0</v>
      </c>
      <c r="C36" s="17">
        <v>0</v>
      </c>
      <c r="D36" s="21">
        <v>34</v>
      </c>
      <c r="E36" s="18" t="s">
        <v>313</v>
      </c>
      <c r="F36" s="20">
        <v>1</v>
      </c>
      <c r="H36" s="19" t="str">
        <f>CONCATENATE(CI_TIPO!$K$1,D36,",'",E36,"', ",F36,"")</f>
        <v>EXECUTE [dbo].[PG_CI_TIPO_ORDEN_TRABAJO] 0, 0, 34,'Falla de palanca', 1</v>
      </c>
      <c r="I36" s="9"/>
    </row>
    <row r="37" spans="1:9" s="8" customFormat="1" ht="12" x14ac:dyDescent="0.25">
      <c r="A37" s="16"/>
      <c r="B37" s="17">
        <v>0</v>
      </c>
      <c r="C37" s="17">
        <v>0</v>
      </c>
      <c r="D37" s="21">
        <v>35</v>
      </c>
      <c r="E37" s="18" t="s">
        <v>314</v>
      </c>
      <c r="F37" s="20">
        <v>1</v>
      </c>
      <c r="H37" s="19" t="str">
        <f>CONCATENATE(CI_TIPO!$K$1,D37,",'",E37,"', ",F37,"")</f>
        <v>EXECUTE [dbo].[PG_CI_TIPO_ORDEN_TRABAJO] 0, 0, 35,'Falla de perforadora', 1</v>
      </c>
      <c r="I37" s="9"/>
    </row>
    <row r="38" spans="1:9" s="8" customFormat="1" ht="12" x14ac:dyDescent="0.25">
      <c r="A38" s="16"/>
      <c r="B38" s="17">
        <v>0</v>
      </c>
      <c r="C38" s="17">
        <v>0</v>
      </c>
      <c r="D38" s="21">
        <v>36</v>
      </c>
      <c r="E38" s="18" t="s">
        <v>315</v>
      </c>
      <c r="F38" s="20">
        <v>1</v>
      </c>
      <c r="H38" s="19" t="str">
        <f>CONCATENATE(CI_TIPO!$K$1,D38,",'",E38,"', ",F38,"")</f>
        <v>EXECUTE [dbo].[PG_CI_TIPO_ORDEN_TRABAJO] 0, 0, 36,'Falla de PM', 1</v>
      </c>
      <c r="I38" s="9"/>
    </row>
    <row r="39" spans="1:9" s="8" customFormat="1" ht="12" x14ac:dyDescent="0.25">
      <c r="A39" s="16"/>
      <c r="B39" s="17">
        <v>0</v>
      </c>
      <c r="C39" s="17">
        <v>0</v>
      </c>
      <c r="D39" s="21">
        <v>37</v>
      </c>
      <c r="E39" s="18" t="s">
        <v>224</v>
      </c>
      <c r="F39" s="20">
        <v>1</v>
      </c>
      <c r="H39" s="19" t="str">
        <f>CONCATENATE(CI_TIPO!$K$1,D39,",'",E39,"', ",F39,"")</f>
        <v>EXECUTE [dbo].[PG_CI_TIPO_ORDEN_TRABAJO] 0, 0, 37,'Falla de prensa', 1</v>
      </c>
      <c r="I39" s="9"/>
    </row>
    <row r="40" spans="1:9" s="8" customFormat="1" ht="12" x14ac:dyDescent="0.25">
      <c r="A40" s="16"/>
      <c r="B40" s="17">
        <v>0</v>
      </c>
      <c r="C40" s="17">
        <v>0</v>
      </c>
      <c r="D40" s="21">
        <v>38</v>
      </c>
      <c r="E40" s="18" t="s">
        <v>330</v>
      </c>
      <c r="F40" s="20">
        <v>1</v>
      </c>
      <c r="H40" s="19" t="str">
        <f>CONCATENATE(CI_TIPO!$K$1,D40,",'",E40,"', ",F40,"")</f>
        <v>EXECUTE [dbo].[PG_CI_TIPO_ORDEN_TRABAJO] 0, 0, 38,'Falla de push botón', 1</v>
      </c>
      <c r="I40" s="9"/>
    </row>
    <row r="41" spans="1:9" s="8" customFormat="1" ht="12" x14ac:dyDescent="0.25">
      <c r="A41" s="16"/>
      <c r="B41" s="17">
        <v>0</v>
      </c>
      <c r="C41" s="17">
        <v>0</v>
      </c>
      <c r="D41" s="21">
        <v>39</v>
      </c>
      <c r="E41" s="18" t="s">
        <v>225</v>
      </c>
      <c r="F41" s="20">
        <v>1</v>
      </c>
      <c r="H41" s="19" t="str">
        <f>CONCATENATE(CI_TIPO!$K$1,D41,",'",E41,"', ",F41,"")</f>
        <v>EXECUTE [dbo].[PG_CI_TIPO_ORDEN_TRABAJO] 0, 0, 39,'Falla de rebajadora', 1</v>
      </c>
      <c r="I41" s="9"/>
    </row>
    <row r="42" spans="1:9" s="8" customFormat="1" ht="12" x14ac:dyDescent="0.25">
      <c r="A42" s="16"/>
      <c r="B42" s="17">
        <v>0</v>
      </c>
      <c r="C42" s="17">
        <v>0</v>
      </c>
      <c r="D42" s="21">
        <v>40</v>
      </c>
      <c r="E42" s="18" t="s">
        <v>227</v>
      </c>
      <c r="F42" s="20">
        <v>1</v>
      </c>
      <c r="H42" s="19" t="str">
        <f>CONCATENATE(CI_TIPO!$K$1,D42,",'",E42,"', ",F42,"")</f>
        <v>EXECUTE [dbo].[PG_CI_TIPO_ORDEN_TRABAJO] 0, 0, 40,'Falla de sensor', 1</v>
      </c>
      <c r="I42" s="9"/>
    </row>
    <row r="43" spans="1:9" s="8" customFormat="1" ht="12" x14ac:dyDescent="0.25">
      <c r="A43" s="16"/>
      <c r="B43" s="17">
        <v>0</v>
      </c>
      <c r="C43" s="17">
        <v>0</v>
      </c>
      <c r="D43" s="21">
        <v>41</v>
      </c>
      <c r="E43" s="18" t="s">
        <v>316</v>
      </c>
      <c r="F43" s="20">
        <v>1</v>
      </c>
      <c r="H43" s="19" t="str">
        <f>CONCATENATE(CI_TIPO!$K$1,D43,",'",E43,"', ",F43,"")</f>
        <v>EXECUTE [dbo].[PG_CI_TIPO_ORDEN_TRABAJO] 0, 0, 41,'Falla de servomotor', 1</v>
      </c>
      <c r="I43" s="9"/>
    </row>
    <row r="44" spans="1:9" s="8" customFormat="1" ht="12" x14ac:dyDescent="0.25">
      <c r="A44" s="16"/>
      <c r="B44" s="17">
        <v>0</v>
      </c>
      <c r="C44" s="17">
        <v>0</v>
      </c>
      <c r="D44" s="21">
        <v>42</v>
      </c>
      <c r="E44" s="18" t="s">
        <v>317</v>
      </c>
      <c r="F44" s="20">
        <v>1</v>
      </c>
      <c r="H44" s="19" t="str">
        <f>CONCATENATE(CI_TIPO!$K$1,D44,",'",E44,"', ",F44,"")</f>
        <v>EXECUTE [dbo].[PG_CI_TIPO_ORDEN_TRABAJO] 0, 0, 42,'Falla de setup', 1</v>
      </c>
      <c r="I44" s="9"/>
    </row>
    <row r="45" spans="1:9" s="8" customFormat="1" ht="12" x14ac:dyDescent="0.25">
      <c r="A45" s="16"/>
      <c r="B45" s="17">
        <v>0</v>
      </c>
      <c r="C45" s="17">
        <v>0</v>
      </c>
      <c r="D45" s="21">
        <v>43</v>
      </c>
      <c r="E45" s="18" t="s">
        <v>228</v>
      </c>
      <c r="F45" s="20">
        <v>1</v>
      </c>
      <c r="H45" s="19" t="str">
        <f>CONCATENATE(CI_TIPO!$K$1,D45,",'",E45,"', ",F45,"")</f>
        <v>EXECUTE [dbo].[PG_CI_TIPO_ORDEN_TRABAJO] 0, 0, 43,'Falla de tabla', 1</v>
      </c>
      <c r="I45" s="9"/>
    </row>
    <row r="46" spans="1:9" s="8" customFormat="1" ht="12" x14ac:dyDescent="0.25">
      <c r="A46" s="16"/>
      <c r="B46" s="17">
        <v>0</v>
      </c>
      <c r="C46" s="17">
        <v>0</v>
      </c>
      <c r="D46" s="21">
        <v>44</v>
      </c>
      <c r="E46" s="18" t="s">
        <v>318</v>
      </c>
      <c r="F46" s="20">
        <v>1</v>
      </c>
      <c r="H46" s="19" t="str">
        <f>CONCATENATE(CI_TIPO!$K$1,D46,",'",E46,"', ",F46,"")</f>
        <v>EXECUTE [dbo].[PG_CI_TIPO_ORDEN_TRABAJO] 0, 0, 44,'Falla de tope', 1</v>
      </c>
      <c r="I46" s="9"/>
    </row>
    <row r="47" spans="1:9" s="8" customFormat="1" ht="12" x14ac:dyDescent="0.25">
      <c r="A47" s="16"/>
      <c r="B47" s="17">
        <v>0</v>
      </c>
      <c r="C47" s="17">
        <v>0</v>
      </c>
      <c r="D47" s="21">
        <v>45</v>
      </c>
      <c r="E47" s="18" t="s">
        <v>273</v>
      </c>
      <c r="F47" s="20">
        <v>1</v>
      </c>
      <c r="H47" s="19" t="str">
        <f>CONCATENATE(CI_TIPO!$K$1,D47,",'",E47,"', ",F47,"")</f>
        <v>EXECUTE [dbo].[PG_CI_TIPO_ORDEN_TRABAJO] 0, 0, 45,'Falla eléctrica', 1</v>
      </c>
      <c r="I47" s="9"/>
    </row>
    <row r="48" spans="1:9" s="8" customFormat="1" ht="12" x14ac:dyDescent="0.25">
      <c r="A48" s="16"/>
      <c r="B48" s="17">
        <v>0</v>
      </c>
      <c r="C48" s="17">
        <v>0</v>
      </c>
      <c r="D48" s="21">
        <v>46</v>
      </c>
      <c r="E48" s="18" t="s">
        <v>331</v>
      </c>
      <c r="F48" s="20">
        <v>1</v>
      </c>
      <c r="H48" s="19" t="str">
        <f>CONCATENATE(CI_TIPO!$K$1,D48,",'",E48,"', ",F48,"")</f>
        <v>EXECUTE [dbo].[PG_CI_TIPO_ORDEN_TRABAJO] 0, 0, 46,'Falla mecánica', 1</v>
      </c>
      <c r="I48" s="9"/>
    </row>
    <row r="49" spans="1:9" s="8" customFormat="1" ht="12" x14ac:dyDescent="0.25">
      <c r="A49" s="16"/>
      <c r="B49" s="17">
        <v>0</v>
      </c>
      <c r="C49" s="17">
        <v>0</v>
      </c>
      <c r="D49" s="21">
        <v>47</v>
      </c>
      <c r="E49" s="18" t="s">
        <v>332</v>
      </c>
      <c r="F49" s="20">
        <v>1</v>
      </c>
      <c r="H49" s="19" t="str">
        <f>CONCATENATE(CI_TIPO!$K$1,D49,",'",E49,"', ",F49,"")</f>
        <v>EXECUTE [dbo].[PG_CI_TIPO_ORDEN_TRABAJO] 0, 0, 47,'Falta de lubricación', 1</v>
      </c>
      <c r="I49" s="9"/>
    </row>
    <row r="50" spans="1:9" s="8" customFormat="1" ht="12" x14ac:dyDescent="0.25">
      <c r="A50" s="16"/>
      <c r="B50" s="17">
        <v>0</v>
      </c>
      <c r="C50" s="17">
        <v>0</v>
      </c>
      <c r="D50" s="21">
        <v>48</v>
      </c>
      <c r="E50" s="18" t="s">
        <v>319</v>
      </c>
      <c r="F50" s="20">
        <v>1</v>
      </c>
      <c r="H50" s="19" t="str">
        <f>CONCATENATE(CI_TIPO!$K$1,D50,",'",E50,"', ",F50,"")</f>
        <v>EXECUTE [dbo].[PG_CI_TIPO_ORDEN_TRABAJO] 0, 0, 48,'Falta de PM', 1</v>
      </c>
      <c r="I50" s="9"/>
    </row>
    <row r="51" spans="1:9" s="8" customFormat="1" ht="12" x14ac:dyDescent="0.25">
      <c r="A51" s="16"/>
      <c r="B51" s="17">
        <v>0</v>
      </c>
      <c r="C51" s="17">
        <v>0</v>
      </c>
      <c r="D51" s="21">
        <v>49</v>
      </c>
      <c r="E51" s="18" t="s">
        <v>320</v>
      </c>
      <c r="F51" s="20">
        <v>1</v>
      </c>
      <c r="H51" s="19" t="str">
        <f>CONCATENATE(CI_TIPO!$K$1,D51,",'",E51,"', ",F51,"")</f>
        <v>EXECUTE [dbo].[PG_CI_TIPO_ORDEN_TRABAJO] 0, 0, 49,'Falta de tornillos', 1</v>
      </c>
      <c r="I51" s="9"/>
    </row>
    <row r="52" spans="1:9" s="8" customFormat="1" ht="12" x14ac:dyDescent="0.25">
      <c r="A52" s="16"/>
      <c r="B52" s="17">
        <v>0</v>
      </c>
      <c r="C52" s="17">
        <v>0</v>
      </c>
      <c r="D52" s="21">
        <v>50</v>
      </c>
      <c r="E52" s="18" t="s">
        <v>231</v>
      </c>
      <c r="F52" s="20">
        <v>1</v>
      </c>
      <c r="H52" s="19" t="str">
        <f>CONCATENATE(CI_TIPO!$K$1,D52,",'",E52,"', ",F52,"")</f>
        <v>EXECUTE [dbo].[PG_CI_TIPO_ORDEN_TRABAJO] 0, 0, 50,'Fuga de aceite', 1</v>
      </c>
      <c r="I52" s="9"/>
    </row>
    <row r="53" spans="1:9" s="8" customFormat="1" ht="12" x14ac:dyDescent="0.25">
      <c r="A53" s="16"/>
      <c r="B53" s="17">
        <v>0</v>
      </c>
      <c r="C53" s="17">
        <v>0</v>
      </c>
      <c r="D53" s="21">
        <v>51</v>
      </c>
      <c r="E53" s="18" t="s">
        <v>276</v>
      </c>
      <c r="F53" s="20">
        <v>1</v>
      </c>
      <c r="H53" s="19" t="str">
        <f>CONCATENATE(CI_TIPO!$K$1,D53,",'",E53,"', ",F53,"")</f>
        <v>EXECUTE [dbo].[PG_CI_TIPO_ORDEN_TRABAJO] 0, 0, 51,'Guarda dañada', 1</v>
      </c>
      <c r="I53" s="9"/>
    </row>
    <row r="54" spans="1:9" s="8" customFormat="1" ht="12" x14ac:dyDescent="0.25">
      <c r="A54" s="16"/>
      <c r="B54" s="17">
        <v>0</v>
      </c>
      <c r="C54" s="17">
        <v>0</v>
      </c>
      <c r="D54" s="21">
        <v>52</v>
      </c>
      <c r="E54" s="18" t="s">
        <v>333</v>
      </c>
      <c r="F54" s="20">
        <v>1</v>
      </c>
      <c r="H54" s="19" t="str">
        <f>CONCATENATE(CI_TIPO!$K$1,D54,",'",E54,"', ",F54,"")</f>
        <v>EXECUTE [dbo].[PG_CI_TIPO_ORDEN_TRABAJO] 0, 0, 52,'Lámpara fundida', 1</v>
      </c>
      <c r="I54" s="9"/>
    </row>
    <row r="55" spans="1:9" s="8" customFormat="1" ht="12" x14ac:dyDescent="0.25">
      <c r="A55" s="16"/>
      <c r="B55" s="17">
        <v>0</v>
      </c>
      <c r="C55" s="17">
        <v>0</v>
      </c>
      <c r="D55" s="21">
        <v>53</v>
      </c>
      <c r="E55" s="18" t="s">
        <v>321</v>
      </c>
      <c r="F55" s="20">
        <v>1</v>
      </c>
      <c r="H55" s="19" t="str">
        <f>CONCATENATE(CI_TIPO!$K$1,D55,",'",E55,"', ",F55,"")</f>
        <v>EXECUTE [dbo].[PG_CI_TIPO_ORDEN_TRABAJO] 0, 0, 53,'Manejo de scrap', 1</v>
      </c>
      <c r="I55" s="9"/>
    </row>
    <row r="56" spans="1:9" s="8" customFormat="1" ht="12" x14ac:dyDescent="0.25">
      <c r="A56" s="16"/>
      <c r="B56" s="17">
        <v>0</v>
      </c>
      <c r="C56" s="17">
        <v>0</v>
      </c>
      <c r="D56" s="21">
        <v>54</v>
      </c>
      <c r="E56" s="18" t="s">
        <v>334</v>
      </c>
      <c r="F56" s="20">
        <v>1</v>
      </c>
      <c r="H56" s="19" t="str">
        <f>CONCATENATE(CI_TIPO!$K$1,D56,",'",E56,"', ",F56,"")</f>
        <v>EXECUTE [dbo].[PG_CI_TIPO_ORDEN_TRABAJO] 0, 0, 54,'Manómetro dañado', 1</v>
      </c>
      <c r="I56" s="9"/>
    </row>
    <row r="57" spans="1:9" s="8" customFormat="1" ht="12" x14ac:dyDescent="0.25">
      <c r="A57" s="16"/>
      <c r="B57" s="17">
        <v>0</v>
      </c>
      <c r="C57" s="17">
        <v>0</v>
      </c>
      <c r="D57" s="21">
        <v>55</v>
      </c>
      <c r="E57" s="18" t="s">
        <v>322</v>
      </c>
      <c r="F57" s="20">
        <v>1</v>
      </c>
      <c r="H57" s="19" t="str">
        <f>CONCATENATE(CI_TIPO!$K$1,D57,",'",E57,"', ",F57,"")</f>
        <v>EXECUTE [dbo].[PG_CI_TIPO_ORDEN_TRABAJO] 0, 0, 55,'Mejora', 1</v>
      </c>
      <c r="I57" s="9"/>
    </row>
    <row r="58" spans="1:9" s="8" customFormat="1" ht="12" x14ac:dyDescent="0.25">
      <c r="A58" s="16"/>
      <c r="B58" s="17">
        <v>0</v>
      </c>
      <c r="C58" s="17">
        <v>0</v>
      </c>
      <c r="D58" s="21">
        <v>56</v>
      </c>
      <c r="E58" s="18" t="s">
        <v>335</v>
      </c>
      <c r="F58" s="20">
        <v>1</v>
      </c>
      <c r="H58" s="19" t="str">
        <f>CONCATENATE(CI_TIPO!$K$1,D58,",'",E58,"', ",F58,"")</f>
        <v>EXECUTE [dbo].[PG_CI_TIPO_ORDEN_TRABAJO] 0, 0, 56,'Mesa dañada', 1</v>
      </c>
      <c r="I58" s="9"/>
    </row>
    <row r="59" spans="1:9" s="8" customFormat="1" ht="12" x14ac:dyDescent="0.25">
      <c r="A59" s="16"/>
      <c r="B59" s="17">
        <v>0</v>
      </c>
      <c r="C59" s="17">
        <v>0</v>
      </c>
      <c r="D59" s="21">
        <v>57</v>
      </c>
      <c r="E59" s="18" t="s">
        <v>280</v>
      </c>
      <c r="F59" s="20">
        <v>1</v>
      </c>
      <c r="H59" s="19" t="str">
        <f>CONCATENATE(CI_TIPO!$K$1,D59,",'",E59,"', ",F59,"")</f>
        <v>EXECUTE [dbo].[PG_CI_TIPO_ORDEN_TRABAJO] 0, 0, 57,'Motor dañado', 1</v>
      </c>
      <c r="I59" s="9"/>
    </row>
    <row r="60" spans="1:9" s="8" customFormat="1" ht="12" x14ac:dyDescent="0.25">
      <c r="A60" s="16"/>
      <c r="B60" s="17">
        <v>0</v>
      </c>
      <c r="C60" s="17">
        <v>0</v>
      </c>
      <c r="D60" s="21">
        <v>58</v>
      </c>
      <c r="E60" s="18" t="s">
        <v>323</v>
      </c>
      <c r="F60" s="20">
        <v>1</v>
      </c>
      <c r="H60" s="19" t="str">
        <f>CONCATENATE(CI_TIPO!$K$1,D60,",'",E60,"', ",F60,"")</f>
        <v>EXECUTE [dbo].[PG_CI_TIPO_ORDEN_TRABAJO] 0, 0, 58,'Otro', 1</v>
      </c>
      <c r="I60" s="9"/>
    </row>
    <row r="61" spans="1:9" s="8" customFormat="1" ht="12" x14ac:dyDescent="0.25">
      <c r="A61" s="16"/>
      <c r="B61" s="17">
        <v>0</v>
      </c>
      <c r="C61" s="17">
        <v>0</v>
      </c>
      <c r="D61" s="21">
        <v>59</v>
      </c>
      <c r="E61" s="18" t="s">
        <v>324</v>
      </c>
      <c r="F61" s="20">
        <v>1</v>
      </c>
      <c r="H61" s="19" t="str">
        <f>CONCATENATE(CI_TIPO!$K$1,D61,",'",E61,"', ",F61,"")</f>
        <v>EXECUTE [dbo].[PG_CI_TIPO_ORDEN_TRABAJO] 0, 0, 59,'Papel mal cortado', 1</v>
      </c>
      <c r="I61" s="9"/>
    </row>
    <row r="62" spans="1:9" s="8" customFormat="1" ht="12" x14ac:dyDescent="0.25">
      <c r="A62" s="16"/>
      <c r="B62" s="17">
        <v>0</v>
      </c>
      <c r="C62" s="17">
        <v>0</v>
      </c>
      <c r="D62" s="21">
        <v>60</v>
      </c>
      <c r="E62" s="18" t="s">
        <v>242</v>
      </c>
      <c r="F62" s="20">
        <v>1</v>
      </c>
      <c r="H62" s="19" t="str">
        <f>CONCATENATE(CI_TIPO!$K$1,D62,",'",E62,"', ",F62,"")</f>
        <v>EXECUTE [dbo].[PG_CI_TIPO_ORDEN_TRABAJO] 0, 0, 60,'Pieza atorada', 1</v>
      </c>
      <c r="I62" s="9"/>
    </row>
    <row r="63" spans="1:9" s="8" customFormat="1" ht="12" x14ac:dyDescent="0.25">
      <c r="A63" s="16"/>
      <c r="B63" s="17">
        <v>0</v>
      </c>
      <c r="C63" s="17">
        <v>0</v>
      </c>
      <c r="D63" s="21">
        <v>61</v>
      </c>
      <c r="E63" s="18" t="s">
        <v>286</v>
      </c>
      <c r="F63" s="20">
        <v>1</v>
      </c>
      <c r="H63" s="19" t="str">
        <f>CONCATENATE(CI_TIPO!$K$1,D63,",'",E63,"', ",F63,"")</f>
        <v>EXECUTE [dbo].[PG_CI_TIPO_ORDEN_TRABAJO] 0, 0, 61,'Plafón dañado', 1</v>
      </c>
      <c r="I63" s="9"/>
    </row>
    <row r="64" spans="1:9" s="8" customFormat="1" ht="12" x14ac:dyDescent="0.25">
      <c r="A64" s="16"/>
      <c r="B64" s="17">
        <v>0</v>
      </c>
      <c r="C64" s="17">
        <v>0</v>
      </c>
      <c r="D64" s="21">
        <v>62</v>
      </c>
      <c r="E64" s="18" t="s">
        <v>248</v>
      </c>
      <c r="F64" s="20">
        <v>1</v>
      </c>
      <c r="H64" s="19" t="str">
        <f>CONCATENATE(CI_TIPO!$K$1,D64,",'",E64,"', ",F64,"")</f>
        <v>EXECUTE [dbo].[PG_CI_TIPO_ORDEN_TRABAJO] 0, 0, 62,'Rectificado', 1</v>
      </c>
      <c r="I64" s="9"/>
    </row>
    <row r="65" spans="1:9" s="8" customFormat="1" ht="12" x14ac:dyDescent="0.25">
      <c r="A65" s="16"/>
      <c r="B65" s="17">
        <v>0</v>
      </c>
      <c r="C65" s="17">
        <v>0</v>
      </c>
      <c r="D65" s="21">
        <v>63</v>
      </c>
      <c r="E65" s="18" t="s">
        <v>325</v>
      </c>
      <c r="F65" s="20">
        <v>1</v>
      </c>
      <c r="H65" s="19" t="str">
        <f>CONCATENATE(CI_TIPO!$K$1,D65,",'",E65,"', ",F65,"")</f>
        <v>EXECUTE [dbo].[PG_CI_TIPO_ORDEN_TRABAJO] 0, 0, 63,'Sello  despegado', 1</v>
      </c>
      <c r="I65" s="9"/>
    </row>
    <row r="66" spans="1:9" s="8" customFormat="1" ht="12" x14ac:dyDescent="0.25">
      <c r="A66" s="16"/>
      <c r="B66" s="17">
        <v>0</v>
      </c>
      <c r="C66" s="17">
        <v>0</v>
      </c>
      <c r="D66" s="21">
        <v>64</v>
      </c>
      <c r="E66" s="18" t="s">
        <v>291</v>
      </c>
      <c r="F66" s="20">
        <v>1</v>
      </c>
      <c r="H66" s="19" t="str">
        <f>CONCATENATE(CI_TIPO!$K$1,D66,",'",E66,"', ",F66,"")</f>
        <v>EXECUTE [dbo].[PG_CI_TIPO_ORDEN_TRABAJO] 0, 0, 64,'Sello dañado', 1</v>
      </c>
      <c r="I66" s="9"/>
    </row>
    <row r="67" spans="1:9" s="8" customFormat="1" ht="12" x14ac:dyDescent="0.25">
      <c r="A67" s="16"/>
      <c r="B67" s="17">
        <v>0</v>
      </c>
      <c r="C67" s="17">
        <v>0</v>
      </c>
      <c r="D67" s="21">
        <v>65</v>
      </c>
      <c r="E67" s="18" t="s">
        <v>255</v>
      </c>
      <c r="F67" s="20">
        <v>1</v>
      </c>
      <c r="H67" s="19" t="str">
        <f>CONCATENATE(CI_TIPO!$K$1,D67,",'",E67,"', ",F67,"")</f>
        <v>EXECUTE [dbo].[PG_CI_TIPO_ORDEN_TRABAJO] 0, 0, 65,'Sensor sucio', 1</v>
      </c>
      <c r="I67" s="9"/>
    </row>
    <row r="68" spans="1:9" s="8" customFormat="1" ht="12" x14ac:dyDescent="0.25">
      <c r="A68" s="16"/>
      <c r="B68" s="17">
        <v>0</v>
      </c>
      <c r="C68" s="17">
        <v>0</v>
      </c>
      <c r="D68" s="21">
        <v>66</v>
      </c>
      <c r="E68" s="18" t="s">
        <v>257</v>
      </c>
      <c r="F68" s="20">
        <v>1</v>
      </c>
      <c r="H68" s="19" t="str">
        <f>CONCATENATE(CI_TIPO!$K$1,D68,",'",E68,"', ",F68,"")</f>
        <v>EXECUTE [dbo].[PG_CI_TIPO_ORDEN_TRABAJO] 0, 0, 66,'Servicio', 1</v>
      </c>
      <c r="I68" s="9"/>
    </row>
    <row r="69" spans="1:9" s="8" customFormat="1" ht="12" x14ac:dyDescent="0.25">
      <c r="A69" s="16"/>
      <c r="B69" s="17">
        <v>0</v>
      </c>
      <c r="C69" s="17">
        <v>0</v>
      </c>
      <c r="D69" s="21">
        <v>67</v>
      </c>
      <c r="E69" s="18" t="s">
        <v>258</v>
      </c>
      <c r="F69" s="20">
        <v>1</v>
      </c>
      <c r="H69" s="19" t="str">
        <f>CONCATENATE(CI_TIPO!$K$1,D69,",'",E69,"', ",F69,"")</f>
        <v>EXECUTE [dbo].[PG_CI_TIPO_ORDEN_TRABAJO] 0, 0, 67,'Setup', 1</v>
      </c>
      <c r="I69" s="9"/>
    </row>
    <row r="70" spans="1:9" s="8" customFormat="1" ht="12" x14ac:dyDescent="0.25">
      <c r="A70" s="16"/>
      <c r="B70" s="17">
        <v>0</v>
      </c>
      <c r="C70" s="17">
        <v>0</v>
      </c>
      <c r="D70" s="21">
        <v>68</v>
      </c>
      <c r="E70" s="18" t="s">
        <v>259</v>
      </c>
      <c r="F70" s="20">
        <v>1</v>
      </c>
      <c r="H70" s="19" t="str">
        <f>CONCATENATE(CI_TIPO!$K$1,D70,",'",E70,"', ",F70,"")</f>
        <v>EXECUTE [dbo].[PG_CI_TIPO_ORDEN_TRABAJO] 0, 0, 68,'Suciedad', 1</v>
      </c>
      <c r="I70" s="9"/>
    </row>
    <row r="71" spans="1:9" s="8" customFormat="1" ht="12" x14ac:dyDescent="0.25">
      <c r="A71" s="16"/>
      <c r="B71" s="17">
        <v>0</v>
      </c>
      <c r="C71" s="17">
        <v>0</v>
      </c>
      <c r="D71" s="21">
        <v>69</v>
      </c>
      <c r="E71" s="18" t="s">
        <v>260</v>
      </c>
      <c r="F71" s="20">
        <v>1</v>
      </c>
      <c r="H71" s="19" t="str">
        <f>CONCATENATE(CI_TIPO!$K$1,D71,",'",E71,"', ",F71,"")</f>
        <v>EXECUTE [dbo].[PG_CI_TIPO_ORDEN_TRABAJO] 0, 0, 69,'Tabla atorada', 1</v>
      </c>
      <c r="I71" s="9"/>
    </row>
    <row r="72" spans="1:9" s="8" customFormat="1" ht="12" x14ac:dyDescent="0.25">
      <c r="A72" s="16"/>
      <c r="B72" s="17">
        <v>0</v>
      </c>
      <c r="C72" s="17">
        <v>0</v>
      </c>
      <c r="D72" s="21">
        <v>70</v>
      </c>
      <c r="E72" s="18" t="s">
        <v>295</v>
      </c>
      <c r="F72" s="20">
        <v>1</v>
      </c>
      <c r="H72" s="19" t="str">
        <f>CONCATENATE(CI_TIPO!$K$1,D72,",'",E72,"', ",F72,"")</f>
        <v>EXECUTE [dbo].[PG_CI_TIPO_ORDEN_TRABAJO] 0, 0, 70,'Tabla dañada', 1</v>
      </c>
      <c r="I72" s="9"/>
    </row>
    <row r="73" spans="1:9" s="8" customFormat="1" ht="12" x14ac:dyDescent="0.25">
      <c r="A73" s="16"/>
      <c r="B73" s="17">
        <v>0</v>
      </c>
      <c r="C73" s="17">
        <v>0</v>
      </c>
      <c r="D73" s="21">
        <v>71</v>
      </c>
      <c r="E73" s="18" t="s">
        <v>326</v>
      </c>
      <c r="F73" s="20">
        <v>1</v>
      </c>
      <c r="H73" s="19" t="str">
        <f>CONCATENATE(CI_TIPO!$K$1,D73,",'",E73,"', ",F73,"")</f>
        <v>EXECUTE [dbo].[PG_CI_TIPO_ORDEN_TRABAJO] 0, 0, 71,'Termino de ciclos de corte', 1</v>
      </c>
      <c r="I73" s="9"/>
    </row>
    <row r="74" spans="1:9" s="8" customFormat="1" ht="12" x14ac:dyDescent="0.25">
      <c r="A74" s="16"/>
      <c r="B74" s="17">
        <v>0</v>
      </c>
      <c r="C74" s="17">
        <v>0</v>
      </c>
      <c r="D74" s="21">
        <v>72</v>
      </c>
      <c r="E74" s="18" t="s">
        <v>263</v>
      </c>
      <c r="F74" s="20">
        <v>1</v>
      </c>
      <c r="H74" s="19" t="str">
        <f>CONCATENATE(CI_TIPO!$K$1,D74,",'",E74,"', ",F74,"")</f>
        <v>EXECUTE [dbo].[PG_CI_TIPO_ORDEN_TRABAJO] 0, 0, 72,'Tornillo flojo', 1</v>
      </c>
      <c r="I74" s="9"/>
    </row>
    <row r="75" spans="1:9" s="8" customFormat="1" ht="12" x14ac:dyDescent="0.25">
      <c r="A75" s="16"/>
      <c r="B75" s="17">
        <v>0</v>
      </c>
      <c r="C75" s="17">
        <v>0</v>
      </c>
      <c r="D75" s="21">
        <v>73</v>
      </c>
      <c r="E75" s="18" t="s">
        <v>336</v>
      </c>
      <c r="F75" s="20">
        <v>1</v>
      </c>
      <c r="H75" s="19" t="str">
        <f>CONCATENATE(CI_TIPO!$K$1,D75,",'",E75,"', ",F75,"")</f>
        <v>EXECUTE [dbo].[PG_CI_TIPO_ORDEN_TRABAJO] 0, 0, 73,'Tubería dañada', 1</v>
      </c>
      <c r="I75" s="9"/>
    </row>
    <row r="76" spans="1:9" s="8" customFormat="1" ht="12" x14ac:dyDescent="0.25">
      <c r="A76" s="16"/>
      <c r="B76" s="17">
        <v>0</v>
      </c>
      <c r="C76" s="17">
        <v>0</v>
      </c>
      <c r="D76" s="21">
        <v>74</v>
      </c>
      <c r="E76" s="18" t="s">
        <v>282</v>
      </c>
      <c r="F76" s="20">
        <v>1</v>
      </c>
      <c r="H76" s="19" t="str">
        <f>CONCATENATE(CI_TIPO!$K$1,D76,",'",E76,"', ",F76,"")</f>
        <v>EXECUTE [dbo].[PG_CI_TIPO_ORDEN_TRABAJO] 0, 0, 74,'Vibración', 1</v>
      </c>
      <c r="I76" s="9"/>
    </row>
    <row r="77" spans="1:9" s="8" customFormat="1" ht="12" x14ac:dyDescent="0.25">
      <c r="A77" s="16"/>
      <c r="B77" s="17">
        <v>0</v>
      </c>
      <c r="C77" s="17">
        <v>0</v>
      </c>
      <c r="D77" s="21">
        <v>75</v>
      </c>
      <c r="E77" s="18"/>
      <c r="F77" s="20">
        <v>1</v>
      </c>
      <c r="H77" s="19" t="str">
        <f>CONCATENATE(CI_TIPO!$K$1,D77,",'",E77,"', ",F77,"")</f>
        <v>EXECUTE [dbo].[PG_CI_TIPO_ORDEN_TRABAJO] 0, 0, 75,'', 1</v>
      </c>
      <c r="I77" s="9"/>
    </row>
    <row r="78" spans="1:9" s="8" customFormat="1" ht="12" x14ac:dyDescent="0.25">
      <c r="A78" s="16"/>
      <c r="B78" s="17">
        <v>0</v>
      </c>
      <c r="C78" s="17">
        <v>0</v>
      </c>
      <c r="D78" s="21">
        <v>76</v>
      </c>
      <c r="E78" s="18"/>
      <c r="F78" s="20">
        <v>1</v>
      </c>
      <c r="H78" s="19" t="str">
        <f>CONCATENATE(CI_TIPO!$K$1,D78,",'",E78,"', ",F78,"")</f>
        <v>EXECUTE [dbo].[PG_CI_TIPO_ORDEN_TRABAJO] 0, 0, 76,'', 1</v>
      </c>
      <c r="I78" s="9"/>
    </row>
    <row r="79" spans="1:9" s="8" customFormat="1" ht="12" x14ac:dyDescent="0.25">
      <c r="A79" s="16"/>
      <c r="B79" s="17">
        <v>0</v>
      </c>
      <c r="C79" s="17">
        <v>0</v>
      </c>
      <c r="D79" s="21">
        <v>77</v>
      </c>
      <c r="E79" s="18"/>
      <c r="F79" s="20">
        <v>1</v>
      </c>
      <c r="H79" s="19" t="str">
        <f>CONCATENATE(CI_TIPO!$K$1,D79,",'",E79,"', ",F79,"")</f>
        <v>EXECUTE [dbo].[PG_CI_TIPO_ORDEN_TRABAJO] 0, 0, 77,'', 1</v>
      </c>
      <c r="I79" s="9"/>
    </row>
    <row r="80" spans="1:9" s="8" customFormat="1" ht="12" x14ac:dyDescent="0.25">
      <c r="A80" s="16"/>
      <c r="B80" s="17">
        <v>0</v>
      </c>
      <c r="C80" s="17">
        <v>0</v>
      </c>
      <c r="D80" s="21">
        <v>78</v>
      </c>
      <c r="E80" s="18"/>
      <c r="F80" s="20">
        <v>1</v>
      </c>
      <c r="H80" s="19" t="str">
        <f>CONCATENATE(CI_TIPO!$K$1,D80,",'",E80,"', ",F80,"")</f>
        <v>EXECUTE [dbo].[PG_CI_TIPO_ORDEN_TRABAJO] 0, 0, 78,'', 1</v>
      </c>
      <c r="I80" s="9"/>
    </row>
    <row r="81" spans="1:9" s="8" customFormat="1" ht="12" x14ac:dyDescent="0.25">
      <c r="A81" s="16"/>
      <c r="B81" s="17"/>
      <c r="C81" s="17"/>
      <c r="D81" s="21"/>
      <c r="E81" s="18"/>
      <c r="F81" s="20"/>
      <c r="H81" s="19"/>
      <c r="I81" s="9"/>
    </row>
    <row r="82" spans="1:9" s="8" customFormat="1" ht="12" x14ac:dyDescent="0.25">
      <c r="A82" s="16"/>
      <c r="B82" s="17"/>
      <c r="C82" s="17"/>
      <c r="D82" s="21"/>
      <c r="E82" s="18"/>
      <c r="F82" s="20"/>
      <c r="H82" s="19"/>
      <c r="I82" s="9"/>
    </row>
    <row r="83" spans="1:9" s="8" customFormat="1" ht="12" x14ac:dyDescent="0.25">
      <c r="A83" s="16"/>
      <c r="B83" s="17"/>
      <c r="C83" s="17"/>
      <c r="D83" s="21"/>
      <c r="E83" s="18"/>
      <c r="F83" s="20"/>
      <c r="H83" s="19"/>
      <c r="I83" s="9"/>
    </row>
    <row r="84" spans="1:9" s="8" customFormat="1" ht="12" x14ac:dyDescent="0.25">
      <c r="A84" s="16"/>
      <c r="B84" s="17"/>
      <c r="C84" s="17"/>
      <c r="D84" s="21"/>
      <c r="E84" s="18"/>
      <c r="F84" s="20"/>
      <c r="H84" s="19"/>
      <c r="I84" s="9"/>
    </row>
    <row r="85" spans="1:9" s="8" customFormat="1" ht="12" x14ac:dyDescent="0.25">
      <c r="A85" s="16"/>
      <c r="B85" s="17"/>
      <c r="C85" s="17"/>
      <c r="D85" s="21"/>
      <c r="E85" s="18"/>
      <c r="F85" s="20"/>
      <c r="H85" s="19"/>
      <c r="I85" s="9"/>
    </row>
    <row r="86" spans="1:9" s="8" customFormat="1" ht="12" x14ac:dyDescent="0.25">
      <c r="A86" s="16"/>
      <c r="B86" s="17"/>
      <c r="C86" s="17"/>
      <c r="D86" s="21"/>
      <c r="E86" s="18"/>
      <c r="F86" s="20"/>
      <c r="H86" s="19"/>
      <c r="I86" s="9"/>
    </row>
    <row r="87" spans="1:9" s="8" customFormat="1" ht="12" x14ac:dyDescent="0.25">
      <c r="A87" s="16"/>
      <c r="B87" s="17"/>
      <c r="C87" s="17"/>
      <c r="D87" s="21"/>
      <c r="E87" s="18"/>
      <c r="F87" s="20"/>
      <c r="H87" s="19"/>
      <c r="I87" s="9"/>
    </row>
    <row r="88" spans="1:9" s="8" customFormat="1" ht="12" x14ac:dyDescent="0.25">
      <c r="A88" s="16"/>
      <c r="B88" s="17"/>
      <c r="C88" s="17"/>
      <c r="D88" s="21"/>
      <c r="E88" s="18"/>
      <c r="F88" s="20"/>
      <c r="H88" s="19"/>
      <c r="I88" s="9"/>
    </row>
    <row r="89" spans="1:9" s="8" customFormat="1" ht="12" x14ac:dyDescent="0.25">
      <c r="A89" s="16"/>
      <c r="B89" s="17"/>
      <c r="C89" s="17"/>
      <c r="D89" s="21"/>
      <c r="E89" s="18"/>
      <c r="F89" s="20"/>
      <c r="H89" s="19"/>
      <c r="I89" s="9"/>
    </row>
    <row r="90" spans="1:9" s="8" customFormat="1" ht="12" x14ac:dyDescent="0.25">
      <c r="A90" s="16"/>
      <c r="B90" s="17"/>
      <c r="C90" s="17"/>
      <c r="D90" s="21"/>
      <c r="E90" s="18"/>
      <c r="F90" s="20"/>
      <c r="H90" s="19"/>
      <c r="I90" s="9"/>
    </row>
    <row r="91" spans="1:9" s="8" customFormat="1" ht="12" x14ac:dyDescent="0.25">
      <c r="A91" s="16"/>
      <c r="B91" s="17"/>
      <c r="C91" s="17"/>
      <c r="D91" s="21"/>
      <c r="E91" s="18"/>
      <c r="F91" s="20"/>
      <c r="H91" s="19"/>
      <c r="I91" s="9"/>
    </row>
    <row r="92" spans="1:9" s="8" customFormat="1" ht="12" x14ac:dyDescent="0.25">
      <c r="A92" s="16"/>
      <c r="B92" s="17"/>
      <c r="C92" s="17"/>
      <c r="D92" s="21"/>
      <c r="E92" s="18"/>
      <c r="F92" s="20"/>
      <c r="H92" s="19"/>
      <c r="I92" s="9"/>
    </row>
    <row r="93" spans="1:9" s="8" customFormat="1" ht="12" x14ac:dyDescent="0.25">
      <c r="A93" s="16"/>
      <c r="B93" s="17"/>
      <c r="C93" s="17"/>
      <c r="D93" s="21"/>
      <c r="E93" s="18"/>
      <c r="F93" s="20"/>
      <c r="H93" s="19"/>
      <c r="I93" s="9"/>
    </row>
    <row r="94" spans="1:9" s="8" customFormat="1" ht="12" x14ac:dyDescent="0.25">
      <c r="A94" s="16"/>
      <c r="B94" s="17"/>
      <c r="C94" s="17"/>
      <c r="D94" s="21"/>
      <c r="E94" s="18"/>
      <c r="F94" s="20"/>
      <c r="H94" s="19"/>
      <c r="I94" s="9"/>
    </row>
    <row r="95" spans="1:9" s="8" customFormat="1" ht="12" x14ac:dyDescent="0.25">
      <c r="A95" s="16"/>
      <c r="B95" s="17"/>
      <c r="C95" s="17"/>
      <c r="D95" s="21"/>
      <c r="E95" s="18"/>
      <c r="F95" s="20"/>
      <c r="H95" s="19"/>
      <c r="I95" s="9"/>
    </row>
    <row r="96" spans="1:9" s="8" customFormat="1" ht="12" x14ac:dyDescent="0.25">
      <c r="A96" s="16"/>
      <c r="B96" s="17"/>
      <c r="C96" s="17"/>
      <c r="D96" s="21"/>
      <c r="E96" s="18"/>
      <c r="F96" s="20"/>
      <c r="H96" s="19"/>
      <c r="I96" s="9"/>
    </row>
    <row r="97" spans="1:9" s="8" customFormat="1" ht="12" x14ac:dyDescent="0.25">
      <c r="A97" s="16"/>
      <c r="B97" s="17"/>
      <c r="C97" s="17"/>
      <c r="D97" s="21"/>
      <c r="E97" s="18"/>
      <c r="F97" s="20"/>
      <c r="H97" s="19"/>
      <c r="I97" s="9"/>
    </row>
    <row r="98" spans="1:9" s="8" customFormat="1" ht="12" x14ac:dyDescent="0.25">
      <c r="A98" s="16"/>
      <c r="B98" s="17"/>
      <c r="C98" s="17"/>
      <c r="D98" s="21"/>
      <c r="E98" s="18"/>
      <c r="F98" s="20"/>
      <c r="H98" s="19"/>
      <c r="I98" s="9"/>
    </row>
    <row r="99" spans="1:9" s="8" customFormat="1" ht="12" x14ac:dyDescent="0.25">
      <c r="A99" s="16"/>
      <c r="B99" s="17"/>
      <c r="C99" s="17"/>
      <c r="D99" s="21"/>
      <c r="E99" s="18"/>
      <c r="F99" s="20"/>
      <c r="H99" s="19"/>
      <c r="I99" s="9"/>
    </row>
    <row r="100" spans="1:9" s="8" customFormat="1" ht="12" x14ac:dyDescent="0.25">
      <c r="A100" s="16"/>
      <c r="B100" s="17"/>
      <c r="C100" s="17"/>
      <c r="D100" s="21"/>
      <c r="E100" s="18"/>
      <c r="F100" s="20"/>
      <c r="H100" s="19"/>
      <c r="I100" s="9"/>
    </row>
    <row r="101" spans="1:9" s="8" customFormat="1" ht="12" x14ac:dyDescent="0.25">
      <c r="A101" s="16"/>
      <c r="B101" s="17"/>
      <c r="C101" s="17"/>
      <c r="D101" s="21"/>
      <c r="E101" s="18"/>
      <c r="F101" s="20"/>
      <c r="H101" s="19"/>
      <c r="I101" s="9"/>
    </row>
    <row r="102" spans="1:9" s="8" customFormat="1" ht="12" x14ac:dyDescent="0.25">
      <c r="A102" s="16"/>
      <c r="B102" s="17"/>
      <c r="C102" s="17"/>
      <c r="D102" s="21"/>
      <c r="E102" s="18"/>
      <c r="F102" s="20"/>
      <c r="H102" s="19"/>
      <c r="I102" s="9"/>
    </row>
    <row r="103" spans="1:9" s="8" customFormat="1" ht="12" x14ac:dyDescent="0.25">
      <c r="A103" s="16"/>
      <c r="B103" s="17"/>
      <c r="C103" s="17"/>
      <c r="D103" s="21"/>
      <c r="E103" s="18"/>
      <c r="F103" s="20"/>
      <c r="H103" s="19"/>
      <c r="I103" s="9"/>
    </row>
    <row r="104" spans="1:9" s="8" customFormat="1" ht="12" x14ac:dyDescent="0.25">
      <c r="A104" s="16"/>
      <c r="B104" s="17"/>
      <c r="C104" s="17"/>
      <c r="D104" s="21"/>
      <c r="E104" s="18"/>
      <c r="F104" s="20"/>
      <c r="H104" s="19"/>
      <c r="I104" s="9"/>
    </row>
    <row r="105" spans="1:9" s="8" customFormat="1" ht="12" x14ac:dyDescent="0.25">
      <c r="A105" s="16"/>
      <c r="B105" s="17"/>
      <c r="C105" s="17"/>
      <c r="D105" s="21"/>
      <c r="E105" s="18"/>
      <c r="F105" s="20"/>
      <c r="H105" s="19"/>
      <c r="I105" s="9"/>
    </row>
    <row r="106" spans="1:9" s="8" customFormat="1" ht="12" x14ac:dyDescent="0.25">
      <c r="A106" s="16"/>
      <c r="B106" s="17"/>
      <c r="C106" s="17"/>
      <c r="D106" s="21"/>
      <c r="F106" s="20"/>
      <c r="H106" s="19"/>
      <c r="I106" s="9"/>
    </row>
    <row r="107" spans="1:9" s="8" customFormat="1" ht="12" x14ac:dyDescent="0.25">
      <c r="A107" s="16"/>
      <c r="B107" s="17"/>
      <c r="C107" s="17"/>
      <c r="D107" s="21"/>
      <c r="F107" s="20"/>
      <c r="H107" s="19"/>
      <c r="I107" s="9"/>
    </row>
    <row r="108" spans="1:9" s="8" customFormat="1" ht="12" x14ac:dyDescent="0.25">
      <c r="A108" s="16"/>
      <c r="B108" s="17"/>
      <c r="C108" s="17"/>
      <c r="D108" s="21"/>
      <c r="F108" s="20"/>
      <c r="H108" s="19"/>
      <c r="I108" s="9"/>
    </row>
    <row r="109" spans="1:9" s="8" customFormat="1" ht="12" x14ac:dyDescent="0.25">
      <c r="A109" s="16"/>
      <c r="B109" s="17"/>
      <c r="C109" s="17"/>
      <c r="D109" s="21"/>
      <c r="F109" s="20"/>
      <c r="H109" s="19"/>
      <c r="I109" s="9"/>
    </row>
    <row r="110" spans="1:9" s="8" customFormat="1" ht="12" x14ac:dyDescent="0.25">
      <c r="A110" s="16"/>
      <c r="B110" s="17"/>
      <c r="C110" s="17"/>
      <c r="D110" s="21"/>
      <c r="F110" s="20"/>
      <c r="H110" s="19"/>
      <c r="I110" s="9"/>
    </row>
    <row r="111" spans="1:9" s="8" customFormat="1" ht="12" x14ac:dyDescent="0.25">
      <c r="A111" s="16"/>
      <c r="B111" s="17"/>
      <c r="C111" s="17"/>
      <c r="D111" s="21"/>
      <c r="F111" s="20"/>
      <c r="H111" s="19"/>
      <c r="I111" s="9"/>
    </row>
    <row r="112" spans="1:9" s="8" customFormat="1" ht="12" x14ac:dyDescent="0.25">
      <c r="A112" s="16"/>
      <c r="B112" s="17"/>
      <c r="C112" s="17"/>
      <c r="D112" s="21"/>
      <c r="F112" s="20"/>
      <c r="H112" s="19"/>
      <c r="I112" s="9"/>
    </row>
    <row r="113" spans="1:9" s="8" customFormat="1" ht="12" x14ac:dyDescent="0.25">
      <c r="A113" s="16"/>
      <c r="B113" s="17"/>
      <c r="C113" s="17"/>
      <c r="D113" s="21"/>
      <c r="F113" s="20"/>
      <c r="H113" s="19"/>
      <c r="I113" s="9"/>
    </row>
    <row r="114" spans="1:9" s="8" customFormat="1" ht="12" x14ac:dyDescent="0.25">
      <c r="A114" s="16"/>
      <c r="B114" s="17"/>
      <c r="C114" s="17"/>
      <c r="D114" s="21"/>
      <c r="F114" s="20"/>
      <c r="H114" s="19"/>
      <c r="I114" s="9"/>
    </row>
    <row r="115" spans="1:9" s="8" customFormat="1" ht="12" x14ac:dyDescent="0.25">
      <c r="A115" s="16"/>
      <c r="B115" s="17"/>
      <c r="C115" s="17"/>
      <c r="D115" s="21"/>
      <c r="E115" s="18"/>
      <c r="F115" s="20"/>
      <c r="H115" s="19"/>
      <c r="I115" s="9"/>
    </row>
    <row r="116" spans="1:9" s="8" customFormat="1" ht="12" x14ac:dyDescent="0.25">
      <c r="A116" s="16"/>
      <c r="B116" s="17"/>
      <c r="C116" s="17"/>
      <c r="D116" s="21"/>
      <c r="E116" s="18"/>
      <c r="F116" s="20"/>
      <c r="H116" s="19"/>
      <c r="I116" s="9"/>
    </row>
    <row r="117" spans="1:9" s="8" customFormat="1" ht="12" x14ac:dyDescent="0.25">
      <c r="A117" s="16"/>
      <c r="B117" s="17"/>
      <c r="C117" s="17"/>
      <c r="D117" s="21"/>
      <c r="E117" s="18"/>
      <c r="F117" s="20"/>
      <c r="H117" s="19"/>
      <c r="I117" s="9"/>
    </row>
    <row r="118" spans="1:9" s="8" customFormat="1" ht="12" x14ac:dyDescent="0.25">
      <c r="A118" s="16"/>
      <c r="B118" s="17"/>
      <c r="C118" s="17"/>
      <c r="D118" s="21"/>
      <c r="E118" s="18"/>
      <c r="F118" s="20"/>
      <c r="H118" s="19"/>
      <c r="I118" s="9"/>
    </row>
    <row r="119" spans="1:9" s="8" customFormat="1" ht="12" x14ac:dyDescent="0.25">
      <c r="A119" s="16"/>
      <c r="B119" s="17"/>
      <c r="C119" s="17"/>
      <c r="D119" s="21"/>
      <c r="E119" s="18"/>
      <c r="F119" s="20"/>
      <c r="H119" s="19"/>
      <c r="I119" s="9"/>
    </row>
    <row r="120" spans="1:9" s="8" customFormat="1" ht="12" x14ac:dyDescent="0.25">
      <c r="A120" s="16"/>
      <c r="B120" s="17"/>
      <c r="C120" s="17"/>
      <c r="D120" s="21"/>
      <c r="E120" s="18"/>
      <c r="F120" s="20"/>
      <c r="H120" s="19"/>
      <c r="I120" s="9"/>
    </row>
    <row r="121" spans="1:9" s="8" customFormat="1" ht="12" x14ac:dyDescent="0.25">
      <c r="A121" s="16"/>
      <c r="B121" s="17"/>
      <c r="C121" s="17"/>
      <c r="D121" s="21"/>
      <c r="E121" s="18"/>
      <c r="F121" s="20"/>
      <c r="H121" s="19"/>
      <c r="I121" s="9"/>
    </row>
    <row r="122" spans="1:9" s="8" customFormat="1" ht="12" x14ac:dyDescent="0.25">
      <c r="A122" s="16"/>
      <c r="B122" s="17"/>
      <c r="C122" s="17"/>
      <c r="D122" s="21"/>
      <c r="E122" s="18"/>
      <c r="F122" s="20"/>
      <c r="H122" s="19"/>
      <c r="I122" s="9"/>
    </row>
    <row r="123" spans="1:9" s="8" customFormat="1" ht="12" x14ac:dyDescent="0.25">
      <c r="A123" s="16"/>
      <c r="B123" s="17"/>
      <c r="C123" s="17"/>
      <c r="D123" s="21"/>
      <c r="E123" s="18"/>
      <c r="F123" s="20"/>
      <c r="H123" s="19"/>
      <c r="I123" s="9"/>
    </row>
    <row r="124" spans="1:9" s="8" customFormat="1" ht="12" x14ac:dyDescent="0.25">
      <c r="A124" s="16"/>
      <c r="B124" s="17"/>
      <c r="C124" s="17"/>
      <c r="D124" s="21"/>
      <c r="E124" s="18"/>
      <c r="F124" s="20"/>
      <c r="H124" s="19"/>
      <c r="I124" s="9"/>
    </row>
    <row r="125" spans="1:9" s="8" customFormat="1" ht="12" x14ac:dyDescent="0.25">
      <c r="A125" s="16"/>
      <c r="B125" s="17"/>
      <c r="C125" s="17"/>
      <c r="D125" s="21"/>
      <c r="E125" s="18"/>
      <c r="F125" s="20"/>
      <c r="H125" s="19"/>
      <c r="I125" s="9"/>
    </row>
    <row r="126" spans="1:9" s="8" customFormat="1" ht="12" x14ac:dyDescent="0.25">
      <c r="A126" s="16"/>
      <c r="B126" s="17"/>
      <c r="C126" s="17"/>
      <c r="D126" s="21"/>
      <c r="E126" s="18"/>
      <c r="F126" s="20"/>
      <c r="H126" s="19"/>
      <c r="I126" s="9"/>
    </row>
    <row r="127" spans="1:9" s="8" customFormat="1" ht="12" x14ac:dyDescent="0.25">
      <c r="A127" s="16"/>
      <c r="B127" s="17"/>
      <c r="C127" s="17"/>
      <c r="D127" s="21"/>
      <c r="E127" s="18"/>
      <c r="F127" s="20"/>
      <c r="H127" s="19"/>
      <c r="I127" s="9"/>
    </row>
    <row r="128" spans="1:9" s="8" customFormat="1" ht="12" x14ac:dyDescent="0.25">
      <c r="A128" s="16"/>
      <c r="B128" s="17"/>
      <c r="C128" s="17"/>
      <c r="D128" s="21"/>
      <c r="E128" s="18"/>
      <c r="F128" s="20"/>
      <c r="H128" s="19"/>
      <c r="I128" s="9"/>
    </row>
    <row r="129" spans="1:9" s="8" customFormat="1" ht="12" x14ac:dyDescent="0.25">
      <c r="A129" s="16"/>
      <c r="B129" s="17"/>
      <c r="C129" s="17"/>
      <c r="D129" s="21"/>
      <c r="E129" s="18"/>
      <c r="F129" s="20"/>
      <c r="H129" s="19"/>
      <c r="I129" s="9"/>
    </row>
    <row r="130" spans="1:9" s="8" customFormat="1" ht="12" x14ac:dyDescent="0.25">
      <c r="A130" s="16"/>
      <c r="B130" s="17"/>
      <c r="C130" s="17"/>
      <c r="D130" s="21"/>
      <c r="E130" s="18"/>
      <c r="F130" s="20"/>
      <c r="H130" s="19"/>
      <c r="I130" s="9"/>
    </row>
    <row r="131" spans="1:9" s="8" customFormat="1" ht="12" x14ac:dyDescent="0.25">
      <c r="A131" s="16"/>
      <c r="B131" s="17"/>
      <c r="C131" s="17"/>
      <c r="D131" s="21"/>
      <c r="E131" s="18"/>
      <c r="F131" s="20"/>
      <c r="H131" s="19"/>
      <c r="I131" s="9"/>
    </row>
    <row r="132" spans="1:9" s="8" customFormat="1" ht="12" x14ac:dyDescent="0.25">
      <c r="A132" s="16"/>
      <c r="B132" s="17"/>
      <c r="C132" s="17"/>
      <c r="D132" s="21"/>
      <c r="E132" s="18"/>
      <c r="F132" s="20"/>
      <c r="H132" s="19"/>
      <c r="I132" s="9"/>
    </row>
    <row r="133" spans="1:9" s="8" customFormat="1" ht="12" x14ac:dyDescent="0.25">
      <c r="A133" s="16"/>
      <c r="B133" s="17"/>
      <c r="C133" s="17"/>
      <c r="D133" s="21"/>
      <c r="E133" s="18"/>
      <c r="F133" s="20"/>
      <c r="H133" s="19"/>
      <c r="I133" s="9"/>
    </row>
    <row r="134" spans="1:9" s="8" customFormat="1" ht="12" x14ac:dyDescent="0.25">
      <c r="A134" s="16"/>
      <c r="B134" s="17"/>
      <c r="C134" s="17"/>
      <c r="D134" s="21"/>
      <c r="E134" s="18"/>
      <c r="F134" s="20"/>
      <c r="H134" s="19"/>
      <c r="I134" s="9"/>
    </row>
    <row r="135" spans="1:9" s="8" customFormat="1" ht="12" x14ac:dyDescent="0.25">
      <c r="A135" s="16"/>
      <c r="B135" s="17"/>
      <c r="C135" s="17"/>
      <c r="D135" s="21"/>
      <c r="E135" s="18"/>
      <c r="F135" s="20"/>
      <c r="H135" s="19"/>
      <c r="I135" s="9"/>
    </row>
    <row r="136" spans="1:9" s="8" customFormat="1" ht="12" x14ac:dyDescent="0.25">
      <c r="A136" s="16"/>
      <c r="B136" s="17"/>
      <c r="C136" s="17"/>
      <c r="D136" s="21"/>
      <c r="E136" s="18"/>
      <c r="F136" s="20"/>
      <c r="H136" s="19"/>
      <c r="I136" s="9"/>
    </row>
    <row r="137" spans="1:9" s="8" customFormat="1" ht="12" x14ac:dyDescent="0.25">
      <c r="A137" s="16"/>
      <c r="B137" s="17"/>
      <c r="C137" s="17"/>
      <c r="D137" s="21"/>
      <c r="E137" s="18"/>
      <c r="F137" s="20"/>
      <c r="H137" s="19"/>
      <c r="I137" s="9"/>
    </row>
    <row r="138" spans="1:9" s="8" customFormat="1" ht="12" x14ac:dyDescent="0.25">
      <c r="A138" s="16"/>
      <c r="B138" s="17"/>
      <c r="C138" s="17"/>
      <c r="D138" s="21"/>
      <c r="E138" s="18"/>
      <c r="F138" s="20"/>
      <c r="H138" s="19"/>
      <c r="I138" s="9"/>
    </row>
    <row r="139" spans="1:9" s="8" customFormat="1" ht="12" x14ac:dyDescent="0.25">
      <c r="A139" s="16"/>
      <c r="B139" s="17"/>
      <c r="C139" s="17"/>
      <c r="D139" s="21"/>
      <c r="E139" s="18"/>
      <c r="F139" s="20"/>
      <c r="H139" s="19"/>
      <c r="I139" s="9"/>
    </row>
    <row r="140" spans="1:9" s="8" customFormat="1" ht="12" x14ac:dyDescent="0.25">
      <c r="A140" s="16"/>
      <c r="B140" s="17"/>
      <c r="C140" s="17"/>
      <c r="D140" s="21"/>
      <c r="E140" s="18"/>
      <c r="F140" s="20"/>
      <c r="H140" s="19"/>
      <c r="I140" s="9"/>
    </row>
    <row r="141" spans="1:9" s="8" customFormat="1" ht="12" x14ac:dyDescent="0.25">
      <c r="A141" s="16"/>
      <c r="B141" s="17"/>
      <c r="C141" s="17"/>
      <c r="D141" s="21"/>
      <c r="E141" s="18"/>
      <c r="F141" s="20"/>
      <c r="H141" s="19"/>
      <c r="I141" s="9"/>
    </row>
    <row r="142" spans="1:9" s="8" customFormat="1" ht="12" x14ac:dyDescent="0.25">
      <c r="A142" s="16"/>
      <c r="B142" s="17"/>
      <c r="C142" s="17"/>
      <c r="D142" s="21"/>
      <c r="E142" s="18"/>
      <c r="F142" s="20"/>
      <c r="H142" s="19"/>
      <c r="I142" s="9"/>
    </row>
    <row r="143" spans="1:9" s="8" customFormat="1" ht="12" x14ac:dyDescent="0.25">
      <c r="A143" s="16"/>
      <c r="B143" s="17"/>
      <c r="C143" s="17"/>
      <c r="D143" s="21"/>
      <c r="E143" s="18"/>
      <c r="F143" s="20"/>
      <c r="H143" s="19"/>
      <c r="I143" s="9"/>
    </row>
    <row r="144" spans="1:9" s="8" customFormat="1" ht="12" x14ac:dyDescent="0.25">
      <c r="A144" s="16"/>
      <c r="B144" s="17"/>
      <c r="C144" s="17"/>
      <c r="D144" s="21"/>
      <c r="E144" s="18"/>
      <c r="F144" s="20"/>
      <c r="H144" s="19"/>
      <c r="I144" s="9"/>
    </row>
    <row r="145" spans="1:9" s="8" customFormat="1" ht="12" x14ac:dyDescent="0.25">
      <c r="A145" s="16"/>
      <c r="B145" s="17"/>
      <c r="C145" s="17"/>
      <c r="D145" s="21"/>
      <c r="E145" s="18"/>
      <c r="F145" s="20"/>
      <c r="H145" s="19"/>
      <c r="I145" s="9"/>
    </row>
    <row r="146" spans="1:9" s="8" customFormat="1" ht="12" x14ac:dyDescent="0.25">
      <c r="A146" s="16"/>
      <c r="B146" s="17"/>
      <c r="C146" s="17"/>
      <c r="D146" s="21"/>
      <c r="E146" s="18"/>
      <c r="F146" s="20"/>
      <c r="H146" s="19"/>
      <c r="I146" s="9"/>
    </row>
    <row r="147" spans="1:9" s="8" customFormat="1" ht="12" x14ac:dyDescent="0.25">
      <c r="A147" s="16"/>
      <c r="B147" s="17"/>
      <c r="C147" s="17"/>
      <c r="D147" s="21"/>
      <c r="E147" s="18"/>
      <c r="F147" s="20"/>
      <c r="H147" s="19"/>
      <c r="I147" s="9"/>
    </row>
    <row r="148" spans="1:9" s="8" customFormat="1" ht="12" x14ac:dyDescent="0.25">
      <c r="A148" s="16"/>
      <c r="B148" s="17"/>
      <c r="C148" s="17"/>
      <c r="D148" s="21"/>
      <c r="E148" s="18"/>
      <c r="F148" s="20"/>
      <c r="H148" s="19"/>
      <c r="I148" s="9"/>
    </row>
    <row r="149" spans="1:9" s="8" customFormat="1" ht="12" x14ac:dyDescent="0.25">
      <c r="A149" s="16"/>
      <c r="B149" s="17"/>
      <c r="C149" s="17"/>
      <c r="D149" s="21"/>
      <c r="E149" s="18"/>
      <c r="F149" s="20"/>
      <c r="H149" s="19"/>
      <c r="I149" s="9"/>
    </row>
    <row r="150" spans="1:9" s="8" customFormat="1" ht="12" x14ac:dyDescent="0.25">
      <c r="A150" s="16"/>
      <c r="B150" s="17"/>
      <c r="C150" s="17"/>
      <c r="D150" s="21"/>
      <c r="E150" s="18"/>
      <c r="F150" s="20"/>
      <c r="H150" s="19"/>
      <c r="I150" s="9"/>
    </row>
    <row r="151" spans="1:9" s="8" customFormat="1" ht="12" x14ac:dyDescent="0.25">
      <c r="A151" s="16"/>
      <c r="B151" s="17"/>
      <c r="C151" s="17"/>
      <c r="D151" s="21"/>
      <c r="E151" s="18"/>
      <c r="F151" s="20"/>
      <c r="H151" s="19"/>
      <c r="I151" s="9"/>
    </row>
    <row r="152" spans="1:9" s="8" customFormat="1" ht="12" x14ac:dyDescent="0.25">
      <c r="A152" s="16"/>
      <c r="B152" s="17"/>
      <c r="C152" s="17"/>
      <c r="D152" s="21"/>
      <c r="E152" s="18"/>
      <c r="F152" s="20"/>
      <c r="H152" s="19"/>
      <c r="I152" s="9"/>
    </row>
    <row r="153" spans="1:9" s="8" customFormat="1" ht="12" x14ac:dyDescent="0.25">
      <c r="A153" s="16"/>
      <c r="B153" s="17"/>
      <c r="C153" s="17"/>
      <c r="D153" s="21"/>
      <c r="E153" s="18"/>
      <c r="F153" s="20"/>
      <c r="H153" s="19"/>
      <c r="I153" s="9"/>
    </row>
    <row r="154" spans="1:9" s="8" customFormat="1" ht="12" x14ac:dyDescent="0.25">
      <c r="A154" s="16"/>
      <c r="B154" s="17"/>
      <c r="C154" s="17"/>
      <c r="D154" s="21"/>
      <c r="E154" s="18"/>
      <c r="F154" s="20"/>
      <c r="H154" s="19"/>
      <c r="I154" s="9"/>
    </row>
    <row r="155" spans="1:9" s="8" customFormat="1" ht="12" x14ac:dyDescent="0.25">
      <c r="A155" s="16"/>
      <c r="B155" s="17"/>
      <c r="C155" s="17"/>
      <c r="D155" s="21"/>
      <c r="E155" s="18"/>
      <c r="F155" s="20"/>
      <c r="H155" s="19"/>
      <c r="I155" s="9"/>
    </row>
    <row r="156" spans="1:9" s="8" customFormat="1" ht="12" x14ac:dyDescent="0.25">
      <c r="A156" s="16"/>
      <c r="B156" s="17"/>
      <c r="C156" s="17"/>
      <c r="D156" s="21"/>
      <c r="E156" s="18"/>
      <c r="F156" s="20"/>
      <c r="H156" s="19"/>
      <c r="I156" s="9"/>
    </row>
    <row r="157" spans="1:9" s="8" customFormat="1" ht="12" x14ac:dyDescent="0.25">
      <c r="A157" s="16"/>
      <c r="B157" s="17"/>
      <c r="C157" s="17"/>
      <c r="D157" s="21"/>
      <c r="E157" s="18"/>
      <c r="F157" s="20"/>
      <c r="H157" s="19"/>
      <c r="I157" s="9"/>
    </row>
    <row r="158" spans="1:9" s="8" customFormat="1" ht="12" x14ac:dyDescent="0.25">
      <c r="A158" s="16"/>
      <c r="B158" s="17"/>
      <c r="C158" s="17"/>
      <c r="D158" s="21"/>
      <c r="E158" s="18"/>
      <c r="F158" s="20"/>
      <c r="H158" s="19"/>
      <c r="I158" s="9"/>
    </row>
    <row r="159" spans="1:9" s="8" customFormat="1" ht="12" x14ac:dyDescent="0.25">
      <c r="A159" s="16"/>
      <c r="B159" s="17"/>
      <c r="C159" s="17"/>
      <c r="D159" s="21"/>
      <c r="E159" s="18"/>
      <c r="F159" s="20"/>
      <c r="H159" s="19"/>
      <c r="I159" s="9"/>
    </row>
    <row r="160" spans="1:9" s="8" customFormat="1" ht="12" x14ac:dyDescent="0.25">
      <c r="A160" s="16"/>
      <c r="B160" s="17"/>
      <c r="C160" s="17"/>
      <c r="D160" s="21"/>
      <c r="E160" s="18"/>
      <c r="F160" s="20"/>
      <c r="H160" s="19"/>
      <c r="I160" s="9"/>
    </row>
    <row r="161" spans="1:9" s="8" customFormat="1" ht="12" x14ac:dyDescent="0.25">
      <c r="A161" s="16"/>
      <c r="B161" s="17"/>
      <c r="C161" s="17"/>
      <c r="D161" s="21"/>
      <c r="E161" s="18"/>
      <c r="F161" s="20"/>
      <c r="H161" s="19"/>
      <c r="I161" s="9"/>
    </row>
    <row r="162" spans="1:9" s="8" customFormat="1" ht="12" x14ac:dyDescent="0.25">
      <c r="A162" s="16"/>
      <c r="B162" s="17"/>
      <c r="C162" s="17"/>
      <c r="D162" s="21"/>
      <c r="E162" s="18"/>
      <c r="F162" s="20"/>
      <c r="H162" s="19"/>
      <c r="I162" s="9"/>
    </row>
    <row r="163" spans="1:9" s="8" customFormat="1" ht="12" x14ac:dyDescent="0.25">
      <c r="A163" s="16"/>
      <c r="B163" s="17"/>
      <c r="C163" s="17"/>
      <c r="D163" s="21"/>
      <c r="E163" s="18"/>
      <c r="F163" s="20"/>
      <c r="H163" s="19"/>
      <c r="I163" s="9"/>
    </row>
    <row r="164" spans="1:9" s="8" customFormat="1" ht="12" x14ac:dyDescent="0.25">
      <c r="A164" s="16"/>
      <c r="B164" s="17"/>
      <c r="C164" s="17"/>
      <c r="D164" s="21"/>
      <c r="E164" s="18"/>
      <c r="F164" s="20"/>
      <c r="H164" s="19"/>
      <c r="I164" s="9"/>
    </row>
    <row r="165" spans="1:9" s="8" customFormat="1" ht="12" x14ac:dyDescent="0.25">
      <c r="A165" s="16"/>
      <c r="B165" s="17"/>
      <c r="C165" s="17"/>
      <c r="D165" s="21"/>
      <c r="E165" s="18"/>
      <c r="F165" s="20"/>
      <c r="H165" s="19"/>
      <c r="I165" s="9"/>
    </row>
    <row r="166" spans="1:9" s="8" customFormat="1" ht="12" x14ac:dyDescent="0.25">
      <c r="A166" s="16"/>
      <c r="B166" s="17"/>
      <c r="C166" s="17"/>
      <c r="D166" s="21"/>
      <c r="E166" s="18"/>
      <c r="F166" s="20"/>
      <c r="H166" s="19"/>
      <c r="I166" s="9"/>
    </row>
    <row r="167" spans="1:9" s="8" customFormat="1" ht="12" x14ac:dyDescent="0.25">
      <c r="A167" s="16"/>
      <c r="B167" s="17"/>
      <c r="C167" s="17"/>
      <c r="D167" s="21"/>
      <c r="E167" s="18"/>
      <c r="F167" s="20"/>
      <c r="H167" s="19"/>
      <c r="I167" s="9"/>
    </row>
    <row r="168" spans="1:9" s="8" customFormat="1" ht="12" x14ac:dyDescent="0.25">
      <c r="A168" s="16"/>
      <c r="B168" s="17"/>
      <c r="C168" s="17"/>
      <c r="D168" s="21"/>
      <c r="E168" s="18"/>
      <c r="F168" s="20"/>
      <c r="H168" s="19"/>
      <c r="I168" s="9"/>
    </row>
    <row r="169" spans="1:9" s="8" customFormat="1" ht="12" x14ac:dyDescent="0.25">
      <c r="A169" s="16"/>
      <c r="B169" s="17"/>
      <c r="C169" s="17"/>
      <c r="D169" s="21"/>
      <c r="E169" s="18"/>
      <c r="F169" s="20"/>
      <c r="H169" s="19"/>
      <c r="I169" s="9"/>
    </row>
    <row r="170" spans="1:9" s="8" customFormat="1" ht="12" x14ac:dyDescent="0.25">
      <c r="A170" s="16"/>
      <c r="B170" s="17"/>
      <c r="C170" s="17"/>
      <c r="D170" s="21"/>
      <c r="E170" s="18"/>
      <c r="F170" s="20"/>
      <c r="H170" s="19"/>
      <c r="I170" s="9"/>
    </row>
    <row r="171" spans="1:9" s="8" customFormat="1" ht="12" x14ac:dyDescent="0.25">
      <c r="A171" s="16"/>
      <c r="B171" s="17"/>
      <c r="C171" s="17"/>
      <c r="D171" s="21"/>
      <c r="E171" s="18"/>
      <c r="F171" s="20"/>
      <c r="H171" s="19"/>
      <c r="I171" s="9"/>
    </row>
    <row r="172" spans="1:9" s="8" customFormat="1" ht="12" x14ac:dyDescent="0.25">
      <c r="A172" s="16"/>
      <c r="B172" s="17"/>
      <c r="C172" s="17"/>
      <c r="D172" s="21"/>
      <c r="E172" s="18"/>
      <c r="F172" s="20"/>
      <c r="H172" s="19"/>
      <c r="I172" s="9"/>
    </row>
    <row r="173" spans="1:9" s="8" customFormat="1" ht="12" x14ac:dyDescent="0.25">
      <c r="A173" s="16"/>
      <c r="B173" s="17"/>
      <c r="C173" s="17"/>
      <c r="D173" s="21"/>
      <c r="E173" s="18"/>
      <c r="F173" s="20"/>
      <c r="H173" s="19"/>
      <c r="I173" s="9"/>
    </row>
    <row r="174" spans="1:9" s="8" customFormat="1" ht="12" x14ac:dyDescent="0.25">
      <c r="A174" s="16"/>
      <c r="B174" s="17"/>
      <c r="C174" s="17"/>
      <c r="D174" s="21"/>
      <c r="E174" s="18"/>
      <c r="F174" s="20"/>
      <c r="H174" s="19"/>
      <c r="I174" s="9"/>
    </row>
    <row r="175" spans="1:9" s="8" customFormat="1" ht="12" x14ac:dyDescent="0.25">
      <c r="A175" s="16"/>
      <c r="B175" s="17"/>
      <c r="C175" s="17"/>
      <c r="D175" s="21"/>
      <c r="E175" s="18"/>
      <c r="F175" s="20"/>
      <c r="H175" s="19"/>
      <c r="I175" s="9"/>
    </row>
    <row r="176" spans="1:9" s="8" customFormat="1" ht="12" x14ac:dyDescent="0.25">
      <c r="A176" s="16"/>
      <c r="B176" s="17"/>
      <c r="C176" s="17"/>
      <c r="D176" s="21"/>
      <c r="E176" s="18"/>
      <c r="F176" s="20"/>
      <c r="H176" s="19"/>
      <c r="I176" s="9"/>
    </row>
    <row r="177" spans="1:9" s="8" customFormat="1" ht="12" x14ac:dyDescent="0.25">
      <c r="A177" s="16"/>
      <c r="B177" s="17"/>
      <c r="C177" s="17"/>
      <c r="D177" s="21"/>
      <c r="E177" s="18"/>
      <c r="F177" s="20"/>
      <c r="H177" s="19"/>
      <c r="I177" s="9"/>
    </row>
    <row r="178" spans="1:9" s="8" customFormat="1" ht="12" x14ac:dyDescent="0.25">
      <c r="A178" s="16"/>
      <c r="B178" s="17"/>
      <c r="C178" s="17"/>
      <c r="D178" s="21"/>
      <c r="E178" s="18"/>
      <c r="F178" s="20"/>
      <c r="H178" s="19"/>
      <c r="I178" s="9"/>
    </row>
    <row r="179" spans="1:9" s="8" customFormat="1" ht="12" x14ac:dyDescent="0.25">
      <c r="A179" s="16"/>
      <c r="B179" s="17"/>
      <c r="C179" s="17"/>
      <c r="D179" s="21"/>
      <c r="E179" s="18"/>
      <c r="F179" s="20"/>
      <c r="H179" s="19"/>
      <c r="I179" s="9"/>
    </row>
    <row r="180" spans="1:9" s="8" customFormat="1" ht="12" x14ac:dyDescent="0.25">
      <c r="A180" s="16"/>
      <c r="B180" s="17"/>
      <c r="C180" s="17"/>
      <c r="D180" s="21"/>
      <c r="E180" s="18"/>
      <c r="F180" s="20"/>
      <c r="H180" s="19"/>
      <c r="I180" s="9"/>
    </row>
    <row r="181" spans="1:9" s="8" customFormat="1" ht="12" x14ac:dyDescent="0.25">
      <c r="A181" s="16"/>
      <c r="B181" s="17"/>
      <c r="C181" s="17"/>
      <c r="D181" s="21"/>
      <c r="E181" s="18"/>
      <c r="F181" s="20"/>
      <c r="H181" s="19"/>
      <c r="I181" s="9"/>
    </row>
    <row r="182" spans="1:9" s="8" customFormat="1" ht="12" x14ac:dyDescent="0.25">
      <c r="A182" s="16"/>
      <c r="B182" s="17"/>
      <c r="C182" s="17"/>
      <c r="D182" s="21"/>
      <c r="E182" s="18"/>
      <c r="F182" s="20"/>
      <c r="H182" s="19"/>
      <c r="I182" s="9"/>
    </row>
    <row r="183" spans="1:9" s="8" customFormat="1" ht="12" x14ac:dyDescent="0.25">
      <c r="A183" s="16"/>
      <c r="B183" s="17"/>
      <c r="C183" s="17"/>
      <c r="D183" s="21"/>
      <c r="E183" s="18"/>
      <c r="F183" s="20"/>
      <c r="H183" s="19"/>
      <c r="I183" s="9"/>
    </row>
    <row r="184" spans="1:9" s="8" customFormat="1" ht="12" x14ac:dyDescent="0.25">
      <c r="A184" s="16"/>
      <c r="B184" s="17"/>
      <c r="C184" s="17"/>
      <c r="D184" s="21"/>
      <c r="E184" s="18"/>
      <c r="F184" s="20"/>
      <c r="H184" s="19"/>
      <c r="I184" s="9"/>
    </row>
    <row r="185" spans="1:9" s="8" customFormat="1" ht="12" x14ac:dyDescent="0.25">
      <c r="A185" s="16"/>
      <c r="B185" s="17"/>
      <c r="C185" s="17"/>
      <c r="D185" s="21"/>
      <c r="E185" s="18"/>
      <c r="F185" s="20"/>
      <c r="H185" s="19"/>
      <c r="I185" s="9"/>
    </row>
    <row r="186" spans="1:9" s="8" customFormat="1" ht="12" x14ac:dyDescent="0.25">
      <c r="A186" s="16"/>
      <c r="B186" s="17"/>
      <c r="C186" s="17"/>
      <c r="D186" s="21"/>
      <c r="E186" s="18"/>
      <c r="F186" s="20"/>
      <c r="H186" s="19"/>
      <c r="I186" s="9"/>
    </row>
    <row r="187" spans="1:9" s="8" customFormat="1" ht="12" x14ac:dyDescent="0.25">
      <c r="A187" s="16"/>
      <c r="B187" s="17"/>
      <c r="C187" s="17"/>
      <c r="D187" s="21"/>
      <c r="E187" s="18"/>
      <c r="F187" s="20"/>
      <c r="H187" s="19"/>
      <c r="I187" s="9"/>
    </row>
    <row r="188" spans="1:9" s="8" customFormat="1" ht="12" x14ac:dyDescent="0.25">
      <c r="A188" s="16"/>
      <c r="B188" s="17"/>
      <c r="C188" s="17"/>
      <c r="D188" s="21"/>
      <c r="E188" s="18"/>
      <c r="F188" s="20"/>
      <c r="H188" s="19"/>
      <c r="I188" s="9"/>
    </row>
    <row r="189" spans="1:9" s="8" customFormat="1" ht="12" x14ac:dyDescent="0.25">
      <c r="A189" s="16"/>
      <c r="B189" s="17"/>
      <c r="C189" s="17"/>
      <c r="D189" s="21"/>
      <c r="E189" s="18"/>
      <c r="F189" s="20"/>
      <c r="H189" s="19"/>
      <c r="I189" s="9"/>
    </row>
    <row r="190" spans="1:9" s="8" customFormat="1" ht="12" x14ac:dyDescent="0.25">
      <c r="A190" s="16"/>
      <c r="B190" s="17"/>
      <c r="C190" s="17"/>
      <c r="D190" s="21"/>
      <c r="E190" s="18"/>
      <c r="F190" s="20"/>
      <c r="H190" s="19"/>
      <c r="I190" s="9"/>
    </row>
    <row r="191" spans="1:9" s="8" customFormat="1" ht="12" x14ac:dyDescent="0.25">
      <c r="A191" s="16"/>
      <c r="B191" s="17"/>
      <c r="C191" s="17"/>
      <c r="D191" s="21"/>
      <c r="E191" s="18"/>
      <c r="F191" s="20"/>
      <c r="H191" s="19"/>
      <c r="I191" s="9"/>
    </row>
    <row r="192" spans="1:9" s="8" customFormat="1" ht="12" x14ac:dyDescent="0.25">
      <c r="A192" s="16"/>
      <c r="B192" s="17"/>
      <c r="C192" s="17"/>
      <c r="D192" s="21"/>
      <c r="E192" s="18"/>
      <c r="F192" s="20"/>
      <c r="H192" s="19"/>
      <c r="I192" s="9"/>
    </row>
    <row r="193" spans="1:9" s="8" customFormat="1" ht="12" x14ac:dyDescent="0.25">
      <c r="A193" s="16"/>
      <c r="B193" s="17"/>
      <c r="C193" s="17"/>
      <c r="D193" s="21"/>
      <c r="E193" s="18"/>
      <c r="F193" s="20"/>
      <c r="H193" s="19"/>
      <c r="I193" s="9"/>
    </row>
    <row r="194" spans="1:9" s="8" customFormat="1" ht="12" x14ac:dyDescent="0.25">
      <c r="A194" s="16"/>
      <c r="B194" s="17"/>
      <c r="C194" s="17"/>
      <c r="D194" s="21"/>
      <c r="E194" s="18"/>
      <c r="F194" s="20"/>
      <c r="H194" s="19"/>
      <c r="I194" s="9"/>
    </row>
    <row r="195" spans="1:9" s="8" customFormat="1" ht="12" x14ac:dyDescent="0.25">
      <c r="A195" s="16"/>
      <c r="B195" s="17"/>
      <c r="C195" s="17"/>
      <c r="D195" s="21"/>
      <c r="E195" s="18"/>
      <c r="F195" s="20"/>
      <c r="H195" s="19"/>
      <c r="I195" s="9"/>
    </row>
    <row r="196" spans="1:9" s="8" customFormat="1" ht="12" x14ac:dyDescent="0.25">
      <c r="A196" s="16"/>
      <c r="B196" s="17"/>
      <c r="C196" s="17"/>
      <c r="D196" s="21"/>
      <c r="E196" s="18"/>
      <c r="F196" s="20"/>
      <c r="H196" s="19"/>
      <c r="I196" s="9"/>
    </row>
    <row r="197" spans="1:9" s="8" customFormat="1" ht="12" x14ac:dyDescent="0.25">
      <c r="A197" s="16"/>
      <c r="B197" s="17"/>
      <c r="C197" s="17"/>
      <c r="D197" s="21"/>
      <c r="E197" s="18"/>
      <c r="F197" s="20"/>
      <c r="H197" s="19"/>
      <c r="I197" s="9"/>
    </row>
    <row r="198" spans="1:9" s="8" customFormat="1" ht="12" x14ac:dyDescent="0.25">
      <c r="A198" s="16"/>
      <c r="B198" s="17"/>
      <c r="C198" s="17"/>
      <c r="D198" s="21"/>
      <c r="E198" s="18"/>
      <c r="F198" s="20"/>
      <c r="H198" s="19"/>
      <c r="I198" s="9"/>
    </row>
    <row r="199" spans="1:9" s="8" customFormat="1" ht="12" x14ac:dyDescent="0.25">
      <c r="A199" s="16"/>
      <c r="B199" s="17"/>
      <c r="C199" s="17"/>
      <c r="D199" s="21"/>
      <c r="E199" s="18"/>
      <c r="F199" s="20"/>
      <c r="H199" s="19"/>
      <c r="I199" s="9"/>
    </row>
    <row r="200" spans="1:9" s="8" customFormat="1" ht="12" x14ac:dyDescent="0.25">
      <c r="A200" s="16"/>
      <c r="B200" s="17"/>
      <c r="C200" s="17"/>
      <c r="D200" s="21"/>
      <c r="E200" s="18"/>
      <c r="F200" s="20"/>
      <c r="H200" s="19"/>
      <c r="I200" s="9"/>
    </row>
    <row r="201" spans="1:9" s="8" customFormat="1" ht="12" x14ac:dyDescent="0.25">
      <c r="A201" s="16"/>
      <c r="B201" s="17"/>
      <c r="C201" s="17"/>
      <c r="D201" s="21"/>
      <c r="E201" s="18"/>
      <c r="F201" s="20"/>
      <c r="H201" s="19"/>
      <c r="I201" s="9"/>
    </row>
    <row r="202" spans="1:9" s="8" customFormat="1" ht="12" x14ac:dyDescent="0.25">
      <c r="A202" s="16"/>
      <c r="B202" s="17"/>
      <c r="C202" s="17"/>
      <c r="D202" s="21"/>
      <c r="E202" s="18"/>
      <c r="F202" s="20"/>
      <c r="H202" s="19"/>
      <c r="I202" s="9"/>
    </row>
    <row r="203" spans="1:9" s="8" customFormat="1" ht="12" x14ac:dyDescent="0.25">
      <c r="A203" s="16"/>
      <c r="B203" s="17"/>
      <c r="C203" s="17"/>
      <c r="D203" s="21"/>
      <c r="E203" s="18"/>
      <c r="F203" s="20"/>
      <c r="H203" s="19"/>
      <c r="I203" s="9"/>
    </row>
    <row r="204" spans="1:9" s="8" customFormat="1" ht="12" x14ac:dyDescent="0.25">
      <c r="A204" s="16"/>
      <c r="B204" s="17"/>
      <c r="C204" s="17"/>
      <c r="D204" s="21"/>
      <c r="E204" s="18"/>
      <c r="F204" s="20"/>
      <c r="H204" s="19"/>
      <c r="I204" s="9"/>
    </row>
    <row r="205" spans="1:9" s="8" customFormat="1" ht="12" x14ac:dyDescent="0.25">
      <c r="A205" s="16"/>
      <c r="B205" s="17"/>
      <c r="C205" s="17"/>
      <c r="D205" s="21"/>
      <c r="E205" s="18"/>
      <c r="F205" s="20"/>
      <c r="H205" s="19"/>
      <c r="I205" s="9"/>
    </row>
    <row r="206" spans="1:9" s="8" customFormat="1" ht="12" x14ac:dyDescent="0.25">
      <c r="A206" s="16"/>
      <c r="B206" s="17"/>
      <c r="C206" s="17"/>
      <c r="D206" s="21"/>
      <c r="E206" s="18"/>
      <c r="F206" s="20"/>
      <c r="H206" s="19"/>
      <c r="I206" s="9"/>
    </row>
    <row r="207" spans="1:9" s="8" customFormat="1" ht="12" x14ac:dyDescent="0.25">
      <c r="A207" s="16"/>
      <c r="B207" s="17"/>
      <c r="C207" s="17"/>
      <c r="D207" s="21"/>
      <c r="E207" s="18"/>
      <c r="F207" s="20"/>
      <c r="H207" s="19"/>
      <c r="I207" s="9"/>
    </row>
    <row r="208" spans="1:9" s="8" customFormat="1" ht="12" x14ac:dyDescent="0.25">
      <c r="A208" s="16"/>
      <c r="B208" s="17"/>
      <c r="C208" s="17"/>
      <c r="D208" s="21"/>
      <c r="E208" s="18"/>
      <c r="F208" s="20"/>
      <c r="H208" s="19"/>
      <c r="I208" s="9"/>
    </row>
    <row r="209" spans="1:9" s="8" customFormat="1" ht="12" x14ac:dyDescent="0.25">
      <c r="A209" s="16"/>
      <c r="B209" s="17"/>
      <c r="C209" s="17"/>
      <c r="D209" s="21"/>
      <c r="E209" s="18"/>
      <c r="F209" s="20"/>
      <c r="H209" s="19"/>
      <c r="I209" s="9"/>
    </row>
    <row r="210" spans="1:9" s="8" customFormat="1" ht="12" x14ac:dyDescent="0.25">
      <c r="A210" s="16"/>
      <c r="B210" s="17"/>
      <c r="C210" s="17"/>
      <c r="D210" s="21"/>
      <c r="E210" s="18"/>
      <c r="F210" s="20"/>
      <c r="H210" s="19"/>
      <c r="I210" s="9"/>
    </row>
    <row r="211" spans="1:9" s="8" customFormat="1" ht="12" x14ac:dyDescent="0.25">
      <c r="A211" s="16"/>
      <c r="B211" s="17"/>
      <c r="C211" s="17"/>
      <c r="D211" s="21"/>
      <c r="E211" s="18"/>
      <c r="F211" s="20"/>
      <c r="H211" s="19"/>
      <c r="I211" s="9"/>
    </row>
    <row r="212" spans="1:9" s="8" customFormat="1" ht="12" x14ac:dyDescent="0.25">
      <c r="A212" s="16"/>
      <c r="B212" s="17"/>
      <c r="C212" s="17"/>
      <c r="D212" s="21"/>
      <c r="E212" s="18"/>
      <c r="F212" s="20"/>
      <c r="H212" s="19"/>
      <c r="I212" s="9"/>
    </row>
    <row r="213" spans="1:9" s="8" customFormat="1" ht="12" x14ac:dyDescent="0.25">
      <c r="A213" s="16"/>
      <c r="B213" s="17"/>
      <c r="C213" s="17"/>
      <c r="D213" s="21"/>
      <c r="E213" s="18"/>
      <c r="F213" s="20"/>
      <c r="H213" s="19"/>
      <c r="I213" s="9"/>
    </row>
    <row r="214" spans="1:9" s="8" customFormat="1" ht="12" x14ac:dyDescent="0.25">
      <c r="A214" s="16"/>
      <c r="B214" s="17"/>
      <c r="C214" s="17"/>
      <c r="D214" s="21"/>
      <c r="E214" s="18"/>
      <c r="F214" s="20"/>
      <c r="H214" s="19"/>
      <c r="I214" s="9"/>
    </row>
    <row r="215" spans="1:9" s="8" customFormat="1" ht="12" x14ac:dyDescent="0.25">
      <c r="A215" s="16"/>
      <c r="B215" s="17"/>
      <c r="C215" s="17"/>
      <c r="D215" s="21"/>
      <c r="E215" s="18"/>
      <c r="F215" s="20"/>
      <c r="H215" s="19"/>
      <c r="I215" s="9"/>
    </row>
    <row r="216" spans="1:9" s="8" customFormat="1" ht="12" x14ac:dyDescent="0.25">
      <c r="A216" s="16"/>
      <c r="B216" s="17"/>
      <c r="C216" s="17"/>
      <c r="D216" s="21"/>
      <c r="E216" s="18"/>
      <c r="F216" s="20"/>
      <c r="H216" s="19"/>
      <c r="I216" s="9"/>
    </row>
    <row r="217" spans="1:9" s="8" customFormat="1" ht="12" x14ac:dyDescent="0.25">
      <c r="A217" s="16"/>
      <c r="B217" s="17"/>
      <c r="C217" s="17"/>
      <c r="D217" s="21"/>
      <c r="E217" s="18"/>
      <c r="F217" s="20"/>
      <c r="H217" s="19"/>
      <c r="I217" s="9"/>
    </row>
    <row r="218" spans="1:9" s="8" customFormat="1" ht="12" x14ac:dyDescent="0.25">
      <c r="A218" s="16"/>
      <c r="B218" s="17"/>
      <c r="C218" s="17"/>
      <c r="D218" s="21"/>
      <c r="E218" s="18"/>
      <c r="F218" s="20"/>
      <c r="H218" s="19"/>
      <c r="I218" s="9"/>
    </row>
    <row r="219" spans="1:9" s="8" customFormat="1" ht="12" x14ac:dyDescent="0.25">
      <c r="A219" s="16"/>
      <c r="B219" s="17"/>
      <c r="C219" s="17"/>
      <c r="D219" s="21"/>
      <c r="E219" s="18"/>
      <c r="F219" s="20"/>
      <c r="H219" s="19"/>
      <c r="I219" s="9"/>
    </row>
    <row r="220" spans="1:9" s="8" customFormat="1" ht="12" x14ac:dyDescent="0.25">
      <c r="A220" s="16"/>
      <c r="B220" s="17"/>
      <c r="C220" s="17"/>
      <c r="D220" s="21"/>
      <c r="E220" s="18"/>
      <c r="F220" s="20"/>
      <c r="H220" s="19"/>
      <c r="I220" s="9"/>
    </row>
    <row r="221" spans="1:9" s="8" customFormat="1" ht="12" x14ac:dyDescent="0.25">
      <c r="A221" s="16"/>
      <c r="B221" s="17"/>
      <c r="C221" s="17"/>
      <c r="D221" s="21"/>
      <c r="E221" s="18"/>
      <c r="F221" s="20"/>
      <c r="H221" s="19"/>
      <c r="I221" s="9"/>
    </row>
    <row r="222" spans="1:9" s="8" customFormat="1" ht="12" x14ac:dyDescent="0.25">
      <c r="A222" s="16"/>
      <c r="B222" s="17"/>
      <c r="C222" s="17"/>
      <c r="D222" s="21"/>
      <c r="E222" s="18"/>
      <c r="F222" s="20"/>
      <c r="H222" s="19"/>
      <c r="I222" s="9"/>
    </row>
    <row r="223" spans="1:9" s="8" customFormat="1" ht="12" x14ac:dyDescent="0.25">
      <c r="A223" s="16"/>
      <c r="B223" s="17"/>
      <c r="C223" s="17"/>
      <c r="D223" s="21"/>
      <c r="E223" s="18"/>
      <c r="F223" s="20"/>
      <c r="H223" s="19"/>
      <c r="I223" s="9"/>
    </row>
    <row r="224" spans="1:9" s="8" customFormat="1" ht="12" x14ac:dyDescent="0.25">
      <c r="A224" s="16"/>
      <c r="B224" s="17"/>
      <c r="C224" s="17"/>
      <c r="D224" s="21"/>
      <c r="E224" s="18"/>
      <c r="F224" s="20"/>
      <c r="H224" s="19"/>
      <c r="I224" s="9"/>
    </row>
    <row r="225" spans="1:9" s="8" customFormat="1" ht="12" x14ac:dyDescent="0.25">
      <c r="A225" s="16"/>
      <c r="B225" s="17"/>
      <c r="C225" s="17"/>
      <c r="D225" s="21"/>
      <c r="E225" s="18"/>
      <c r="F225" s="20"/>
      <c r="H225" s="19"/>
      <c r="I225" s="9"/>
    </row>
    <row r="226" spans="1:9" s="8" customFormat="1" ht="12" x14ac:dyDescent="0.25">
      <c r="A226" s="16"/>
      <c r="B226" s="17"/>
      <c r="C226" s="17"/>
      <c r="D226" s="21"/>
      <c r="E226" s="18"/>
      <c r="F226" s="20"/>
      <c r="H226" s="19"/>
      <c r="I226" s="9"/>
    </row>
    <row r="227" spans="1:9" s="8" customFormat="1" ht="12" x14ac:dyDescent="0.25">
      <c r="A227" s="16"/>
      <c r="B227" s="17"/>
      <c r="C227" s="17"/>
      <c r="D227" s="21"/>
      <c r="E227" s="18"/>
      <c r="F227" s="20"/>
      <c r="H227" s="19"/>
      <c r="I227" s="9"/>
    </row>
    <row r="228" spans="1:9" s="8" customFormat="1" ht="12" x14ac:dyDescent="0.25">
      <c r="A228" s="16"/>
      <c r="B228" s="17"/>
      <c r="C228" s="17"/>
      <c r="D228" s="21"/>
      <c r="E228" s="18"/>
      <c r="F228" s="20"/>
      <c r="H228" s="19"/>
      <c r="I228" s="9"/>
    </row>
    <row r="229" spans="1:9" s="8" customFormat="1" ht="12" x14ac:dyDescent="0.25">
      <c r="A229" s="16"/>
      <c r="B229" s="17"/>
      <c r="C229" s="17"/>
      <c r="D229" s="21"/>
      <c r="E229" s="18"/>
      <c r="F229" s="20"/>
      <c r="H229" s="19"/>
      <c r="I229" s="9"/>
    </row>
    <row r="230" spans="1:9" s="8" customFormat="1" ht="12" x14ac:dyDescent="0.25">
      <c r="A230" s="16"/>
      <c r="B230" s="17"/>
      <c r="C230" s="17"/>
      <c r="D230" s="21"/>
      <c r="E230" s="18"/>
      <c r="F230" s="20"/>
      <c r="H230" s="19"/>
      <c r="I230" s="9"/>
    </row>
    <row r="231" spans="1:9" s="8" customFormat="1" ht="12" x14ac:dyDescent="0.25">
      <c r="A231" s="16"/>
      <c r="B231" s="17"/>
      <c r="C231" s="17"/>
      <c r="D231" s="21"/>
      <c r="E231" s="18"/>
      <c r="F231" s="20"/>
      <c r="H231" s="19"/>
      <c r="I231" s="9"/>
    </row>
    <row r="232" spans="1:9" s="8" customFormat="1" ht="12" x14ac:dyDescent="0.25">
      <c r="A232" s="16"/>
      <c r="B232" s="17"/>
      <c r="C232" s="17"/>
      <c r="D232" s="21"/>
      <c r="E232" s="18"/>
      <c r="F232" s="20"/>
      <c r="H232" s="19"/>
      <c r="I232" s="9"/>
    </row>
    <row r="233" spans="1:9" s="8" customFormat="1" ht="12" x14ac:dyDescent="0.25">
      <c r="A233" s="16"/>
      <c r="B233" s="17"/>
      <c r="C233" s="17"/>
      <c r="D233" s="21"/>
      <c r="E233" s="18"/>
      <c r="F233" s="20"/>
      <c r="H233" s="19"/>
      <c r="I233" s="9"/>
    </row>
    <row r="234" spans="1:9" s="8" customFormat="1" ht="12" x14ac:dyDescent="0.25">
      <c r="A234" s="16"/>
      <c r="B234" s="17"/>
      <c r="C234" s="17"/>
      <c r="D234" s="21"/>
      <c r="E234" s="18"/>
      <c r="F234" s="20"/>
      <c r="H234" s="19"/>
      <c r="I234" s="9"/>
    </row>
    <row r="235" spans="1:9" s="8" customFormat="1" ht="12" x14ac:dyDescent="0.25">
      <c r="A235" s="16"/>
      <c r="B235" s="17"/>
      <c r="C235" s="17"/>
      <c r="D235" s="21"/>
      <c r="E235" s="18"/>
      <c r="F235" s="20"/>
      <c r="H235" s="19"/>
      <c r="I235" s="9"/>
    </row>
    <row r="236" spans="1:9" s="8" customFormat="1" ht="12" x14ac:dyDescent="0.25">
      <c r="A236" s="16"/>
      <c r="B236" s="17"/>
      <c r="C236" s="17"/>
      <c r="D236" s="21"/>
      <c r="E236" s="18"/>
      <c r="F236" s="20"/>
      <c r="H236" s="19"/>
      <c r="I236" s="9"/>
    </row>
    <row r="237" spans="1:9" s="8" customFormat="1" ht="12" x14ac:dyDescent="0.25">
      <c r="A237" s="16"/>
      <c r="B237" s="17"/>
      <c r="C237" s="17"/>
      <c r="D237" s="21"/>
      <c r="E237" s="18"/>
      <c r="F237" s="20"/>
      <c r="H237" s="19"/>
      <c r="I237" s="9"/>
    </row>
    <row r="238" spans="1:9" s="8" customFormat="1" ht="12" x14ac:dyDescent="0.25">
      <c r="A238" s="16"/>
      <c r="B238" s="17"/>
      <c r="C238" s="17"/>
      <c r="D238" s="21"/>
      <c r="E238" s="18"/>
      <c r="F238" s="20"/>
      <c r="H238" s="19"/>
      <c r="I238" s="9"/>
    </row>
    <row r="239" spans="1:9" s="8" customFormat="1" ht="12" x14ac:dyDescent="0.25">
      <c r="A239" s="16"/>
      <c r="B239" s="17"/>
      <c r="C239" s="17"/>
      <c r="D239" s="21"/>
      <c r="E239" s="18"/>
      <c r="F239" s="20"/>
      <c r="H239" s="19"/>
      <c r="I239" s="9"/>
    </row>
    <row r="240" spans="1:9" s="8" customFormat="1" ht="12" x14ac:dyDescent="0.25">
      <c r="A240" s="16"/>
      <c r="B240" s="17"/>
      <c r="C240" s="17"/>
      <c r="D240" s="21"/>
      <c r="E240" s="18"/>
      <c r="F240" s="20"/>
      <c r="H240" s="19"/>
      <c r="I240" s="9"/>
    </row>
    <row r="241" spans="1:9" s="8" customFormat="1" ht="12" x14ac:dyDescent="0.25">
      <c r="A241" s="16"/>
      <c r="B241" s="17"/>
      <c r="C241" s="17"/>
      <c r="D241" s="21"/>
      <c r="E241" s="18"/>
      <c r="F241" s="20"/>
      <c r="H241" s="19"/>
      <c r="I241" s="9"/>
    </row>
    <row r="242" spans="1:9" s="8" customFormat="1" ht="12" x14ac:dyDescent="0.25">
      <c r="A242" s="16"/>
      <c r="B242" s="17"/>
      <c r="C242" s="17"/>
      <c r="D242" s="21"/>
      <c r="E242" s="18"/>
      <c r="F242" s="20"/>
      <c r="H242" s="19"/>
      <c r="I242" s="9"/>
    </row>
    <row r="243" spans="1:9" s="8" customFormat="1" ht="12" x14ac:dyDescent="0.25">
      <c r="A243" s="16"/>
      <c r="B243" s="17"/>
      <c r="C243" s="17"/>
      <c r="D243" s="21"/>
      <c r="E243" s="18"/>
      <c r="F243" s="20"/>
      <c r="H243" s="19"/>
      <c r="I243" s="9"/>
    </row>
    <row r="244" spans="1:9" s="8" customFormat="1" ht="12" x14ac:dyDescent="0.25">
      <c r="A244" s="16"/>
      <c r="B244" s="17"/>
      <c r="C244" s="17"/>
      <c r="D244" s="21"/>
      <c r="E244" s="18"/>
      <c r="F244" s="20"/>
      <c r="H244" s="19"/>
      <c r="I244" s="9"/>
    </row>
    <row r="245" spans="1:9" s="8" customFormat="1" ht="12" x14ac:dyDescent="0.25">
      <c r="A245" s="16"/>
      <c r="B245" s="17"/>
      <c r="C245" s="17"/>
      <c r="D245" s="21"/>
      <c r="E245" s="18"/>
      <c r="F245" s="20"/>
      <c r="H245" s="19"/>
      <c r="I245" s="9"/>
    </row>
    <row r="246" spans="1:9" s="8" customFormat="1" ht="12" x14ac:dyDescent="0.25">
      <c r="A246" s="16"/>
      <c r="B246" s="17"/>
      <c r="C246" s="17"/>
      <c r="D246" s="21"/>
      <c r="E246" s="18"/>
      <c r="F246" s="20"/>
      <c r="H246" s="19"/>
      <c r="I246" s="9"/>
    </row>
    <row r="247" spans="1:9" s="8" customFormat="1" ht="12" x14ac:dyDescent="0.25">
      <c r="A247" s="16"/>
      <c r="B247" s="17"/>
      <c r="C247" s="17"/>
      <c r="D247" s="21"/>
      <c r="E247" s="18"/>
      <c r="F247" s="20"/>
      <c r="H247" s="19"/>
      <c r="I247" s="9"/>
    </row>
    <row r="248" spans="1:9" s="8" customFormat="1" ht="12" x14ac:dyDescent="0.25">
      <c r="A248" s="16"/>
      <c r="B248" s="17"/>
      <c r="C248" s="17"/>
      <c r="D248" s="21"/>
      <c r="E248" s="18"/>
      <c r="F248" s="20"/>
      <c r="H248" s="19"/>
      <c r="I248" s="9"/>
    </row>
    <row r="249" spans="1:9" s="8" customFormat="1" ht="12" x14ac:dyDescent="0.25">
      <c r="A249" s="16"/>
      <c r="B249" s="17"/>
      <c r="C249" s="17"/>
      <c r="D249" s="21"/>
      <c r="E249" s="18"/>
      <c r="F249" s="20"/>
      <c r="H249" s="19"/>
      <c r="I249" s="9"/>
    </row>
  </sheetData>
  <autoFilter ref="A1:K10" xr:uid="{00000000-0009-0000-0000-000001000000}">
    <sortState xmlns:xlrd2="http://schemas.microsoft.com/office/spreadsheetml/2017/richdata2" ref="A2:L80">
      <sortCondition ref="E1:E10"/>
    </sortState>
  </autoFilter>
  <conditionalFormatting sqref="D250:D1048576 D1:D3 D106 D110 D114 D118 D122 D126 D130 D134 D138 D142 D146 D150 D154 D158 D162 D166 D170 D7:D9 D13:D15 D19:D21 D25:D27 D31:D33 D37:D39 D43:D45 D49:D51 D55:D57 D85:D87 D91:D93 D97:D99 D103:D104 D61:D66 D70:D75 D79:D81">
    <cfRule type="duplicateValues" dxfId="18" priority="11"/>
  </conditionalFormatting>
  <conditionalFormatting sqref="D107 D111 D115 D119 D123 D127 D131 D135 D139 D143 D147 D151 D155 D159 D163 D167 D171">
    <cfRule type="duplicateValues" dxfId="17" priority="10"/>
  </conditionalFormatting>
  <conditionalFormatting sqref="D105 D108:D109 D112:D113 D116:D117 D120:D121 D124:D125 D128:D129 D132:D133 D136:D137 D140:D141 D144:D145 D148:D149 D152:D153 D156:D157 D160:D161 D164:D165 D168:D169 D172">
    <cfRule type="duplicateValues" dxfId="16" priority="8"/>
  </conditionalFormatting>
  <conditionalFormatting sqref="F3:F68 B3:C68 B81:C104 F81:F104">
    <cfRule type="beginsWith" dxfId="15" priority="12" operator="beginsWith" text="[K_">
      <formula>LEFT(#REF!,LEN("[K_"))="[K_"</formula>
    </cfRule>
  </conditionalFormatting>
  <conditionalFormatting sqref="F105:F172 B105:C172">
    <cfRule type="beginsWith" dxfId="14" priority="9" operator="beginsWith" text="[K_">
      <formula>LEFT(#REF!,LEN("[K_"))="[K_"</formula>
    </cfRule>
  </conditionalFormatting>
  <conditionalFormatting sqref="D173:D249">
    <cfRule type="duplicateValues" dxfId="13" priority="6"/>
  </conditionalFormatting>
  <conditionalFormatting sqref="F173:F249 B173:C249">
    <cfRule type="beginsWith" dxfId="12" priority="7" operator="beginsWith" text="[K_">
      <formula>LEFT(#REF!,LEN("[K_"))="[K_"</formula>
    </cfRule>
  </conditionalFormatting>
  <conditionalFormatting sqref="D4:D6 D10:D12 D16:D18 D22:D24 D28:D30 D34:D36 D40:D42 D46:D48 D52:D54 D58:D60 D82:D84 D88:D90 D94:D96 D100:D102 D67:D69 D76:D78">
    <cfRule type="duplicateValues" dxfId="11" priority="5"/>
  </conditionalFormatting>
  <conditionalFormatting sqref="E81:E1048576 E1:E77">
    <cfRule type="duplicateValues" dxfId="10" priority="4"/>
  </conditionalFormatting>
  <conditionalFormatting sqref="F69:F80 B69:C80">
    <cfRule type="beginsWith" dxfId="9" priority="3" operator="beginsWith" text="[K_">
      <formula>LEFT(#REF!,LEN("[K_"))="[K_"</formula>
    </cfRule>
  </conditionalFormatting>
  <conditionalFormatting sqref="E68:E80">
    <cfRule type="duplicateValues" dxfId="8"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8FBA-E032-4466-BA84-33C549F7FB73}">
  <dimension ref="A1:B85"/>
  <sheetViews>
    <sheetView topLeftCell="A48" workbookViewId="0">
      <selection sqref="A1:A85"/>
    </sheetView>
  </sheetViews>
  <sheetFormatPr baseColWidth="10" defaultRowHeight="15" x14ac:dyDescent="0.25"/>
  <sheetData>
    <row r="1" spans="1:2" x14ac:dyDescent="0.25">
      <c r="A1" s="21" t="s">
        <v>29</v>
      </c>
      <c r="B1" s="18">
        <v>1</v>
      </c>
    </row>
    <row r="2" spans="1:2" x14ac:dyDescent="0.25">
      <c r="A2" s="21" t="s">
        <v>30</v>
      </c>
      <c r="B2" s="18">
        <v>1</v>
      </c>
    </row>
    <row r="3" spans="1:2" x14ac:dyDescent="0.25">
      <c r="A3" s="21" t="s">
        <v>31</v>
      </c>
      <c r="B3" s="18">
        <v>1</v>
      </c>
    </row>
    <row r="4" spans="1:2" x14ac:dyDescent="0.25">
      <c r="A4" s="21" t="s">
        <v>32</v>
      </c>
      <c r="B4" s="18">
        <v>1</v>
      </c>
    </row>
    <row r="5" spans="1:2" x14ac:dyDescent="0.25">
      <c r="A5" s="21" t="s">
        <v>33</v>
      </c>
      <c r="B5" s="18">
        <v>1</v>
      </c>
    </row>
    <row r="6" spans="1:2" x14ac:dyDescent="0.25">
      <c r="A6" s="21" t="s">
        <v>34</v>
      </c>
      <c r="B6" s="18">
        <v>1</v>
      </c>
    </row>
    <row r="7" spans="1:2" x14ac:dyDescent="0.25">
      <c r="A7" s="21" t="s">
        <v>35</v>
      </c>
      <c r="B7" s="18">
        <v>1</v>
      </c>
    </row>
    <row r="8" spans="1:2" x14ac:dyDescent="0.25">
      <c r="A8" s="21" t="s">
        <v>36</v>
      </c>
      <c r="B8" s="18">
        <v>1</v>
      </c>
    </row>
    <row r="9" spans="1:2" x14ac:dyDescent="0.25">
      <c r="A9" s="21" t="s">
        <v>37</v>
      </c>
      <c r="B9" s="18">
        <v>1</v>
      </c>
    </row>
    <row r="10" spans="1:2" x14ac:dyDescent="0.25">
      <c r="A10" s="21" t="s">
        <v>38</v>
      </c>
      <c r="B10" s="18">
        <v>1</v>
      </c>
    </row>
    <row r="11" spans="1:2" x14ac:dyDescent="0.25">
      <c r="A11" s="21" t="s">
        <v>39</v>
      </c>
      <c r="B11" s="18">
        <v>1</v>
      </c>
    </row>
    <row r="12" spans="1:2" x14ac:dyDescent="0.25">
      <c r="A12" s="21" t="s">
        <v>40</v>
      </c>
      <c r="B12" s="18">
        <v>1</v>
      </c>
    </row>
    <row r="13" spans="1:2" x14ac:dyDescent="0.25">
      <c r="A13" s="21" t="s">
        <v>41</v>
      </c>
      <c r="B13" s="18">
        <v>2</v>
      </c>
    </row>
    <row r="14" spans="1:2" x14ac:dyDescent="0.25">
      <c r="A14" s="21" t="s">
        <v>42</v>
      </c>
      <c r="B14" s="18">
        <v>2</v>
      </c>
    </row>
    <row r="15" spans="1:2" x14ac:dyDescent="0.25">
      <c r="A15" s="21" t="s">
        <v>43</v>
      </c>
      <c r="B15" s="18">
        <v>2</v>
      </c>
    </row>
    <row r="16" spans="1:2" x14ac:dyDescent="0.25">
      <c r="A16" s="21" t="s">
        <v>44</v>
      </c>
      <c r="B16" s="18">
        <v>2</v>
      </c>
    </row>
    <row r="17" spans="1:2" x14ac:dyDescent="0.25">
      <c r="A17" s="21" t="s">
        <v>45</v>
      </c>
      <c r="B17" s="18">
        <v>2</v>
      </c>
    </row>
    <row r="18" spans="1:2" x14ac:dyDescent="0.25">
      <c r="A18" s="21" t="s">
        <v>46</v>
      </c>
      <c r="B18" s="18">
        <v>2</v>
      </c>
    </row>
    <row r="19" spans="1:2" x14ac:dyDescent="0.25">
      <c r="A19" s="21" t="s">
        <v>47</v>
      </c>
      <c r="B19" s="18">
        <v>2</v>
      </c>
    </row>
    <row r="20" spans="1:2" x14ac:dyDescent="0.25">
      <c r="A20" s="21" t="s">
        <v>48</v>
      </c>
      <c r="B20" s="18">
        <v>2</v>
      </c>
    </row>
    <row r="21" spans="1:2" x14ac:dyDescent="0.25">
      <c r="A21" s="21" t="s">
        <v>49</v>
      </c>
      <c r="B21" s="18">
        <v>2</v>
      </c>
    </row>
    <row r="22" spans="1:2" x14ac:dyDescent="0.25">
      <c r="A22" s="21" t="s">
        <v>50</v>
      </c>
      <c r="B22" s="18">
        <v>2</v>
      </c>
    </row>
    <row r="23" spans="1:2" x14ac:dyDescent="0.25">
      <c r="A23" s="21" t="s">
        <v>51</v>
      </c>
      <c r="B23" s="18">
        <v>2</v>
      </c>
    </row>
    <row r="24" spans="1:2" x14ac:dyDescent="0.25">
      <c r="A24" s="21" t="s">
        <v>52</v>
      </c>
      <c r="B24" s="18">
        <v>2</v>
      </c>
    </row>
    <row r="25" spans="1:2" x14ac:dyDescent="0.25">
      <c r="A25" s="21" t="s">
        <v>53</v>
      </c>
      <c r="B25" s="18">
        <v>3</v>
      </c>
    </row>
    <row r="26" spans="1:2" x14ac:dyDescent="0.25">
      <c r="A26" s="21" t="s">
        <v>54</v>
      </c>
      <c r="B26" s="18">
        <v>3</v>
      </c>
    </row>
    <row r="27" spans="1:2" x14ac:dyDescent="0.25">
      <c r="A27" s="21" t="s">
        <v>55</v>
      </c>
      <c r="B27" s="18">
        <v>3</v>
      </c>
    </row>
    <row r="28" spans="1:2" x14ac:dyDescent="0.25">
      <c r="A28" s="21" t="s">
        <v>56</v>
      </c>
      <c r="B28" s="18">
        <v>3</v>
      </c>
    </row>
    <row r="29" spans="1:2" x14ac:dyDescent="0.25">
      <c r="A29" s="21" t="s">
        <v>57</v>
      </c>
      <c r="B29" s="18">
        <v>3</v>
      </c>
    </row>
    <row r="30" spans="1:2" x14ac:dyDescent="0.25">
      <c r="A30" s="21" t="s">
        <v>58</v>
      </c>
      <c r="B30" s="18">
        <v>3</v>
      </c>
    </row>
    <row r="31" spans="1:2" x14ac:dyDescent="0.25">
      <c r="A31" s="21" t="s">
        <v>59</v>
      </c>
      <c r="B31" s="18">
        <v>3</v>
      </c>
    </row>
    <row r="32" spans="1:2" x14ac:dyDescent="0.25">
      <c r="A32" s="21" t="s">
        <v>60</v>
      </c>
      <c r="B32" s="18">
        <v>3</v>
      </c>
    </row>
    <row r="33" spans="1:2" x14ac:dyDescent="0.25">
      <c r="A33" s="21" t="s">
        <v>61</v>
      </c>
      <c r="B33" s="18">
        <v>3</v>
      </c>
    </row>
    <row r="34" spans="1:2" x14ac:dyDescent="0.25">
      <c r="A34" s="21" t="s">
        <v>62</v>
      </c>
      <c r="B34" s="18">
        <v>3</v>
      </c>
    </row>
    <row r="35" spans="1:2" x14ac:dyDescent="0.25">
      <c r="A35" s="21" t="s">
        <v>63</v>
      </c>
      <c r="B35" s="18">
        <v>3</v>
      </c>
    </row>
    <row r="36" spans="1:2" x14ac:dyDescent="0.25">
      <c r="A36" s="21" t="s">
        <v>64</v>
      </c>
      <c r="B36" s="18">
        <v>3</v>
      </c>
    </row>
    <row r="37" spans="1:2" x14ac:dyDescent="0.25">
      <c r="A37" s="21" t="s">
        <v>65</v>
      </c>
      <c r="B37" s="18">
        <v>4</v>
      </c>
    </row>
    <row r="38" spans="1:2" x14ac:dyDescent="0.25">
      <c r="A38" s="21" t="s">
        <v>66</v>
      </c>
      <c r="B38" s="18">
        <v>4</v>
      </c>
    </row>
    <row r="39" spans="1:2" x14ac:dyDescent="0.25">
      <c r="A39" s="21" t="s">
        <v>67</v>
      </c>
      <c r="B39" s="18">
        <v>4</v>
      </c>
    </row>
    <row r="40" spans="1:2" x14ac:dyDescent="0.25">
      <c r="A40" s="21" t="s">
        <v>68</v>
      </c>
      <c r="B40" s="18">
        <v>4</v>
      </c>
    </row>
    <row r="41" spans="1:2" x14ac:dyDescent="0.25">
      <c r="A41" s="21" t="s">
        <v>69</v>
      </c>
      <c r="B41" s="18">
        <v>4</v>
      </c>
    </row>
    <row r="42" spans="1:2" x14ac:dyDescent="0.25">
      <c r="A42" s="21" t="s">
        <v>70</v>
      </c>
      <c r="B42" s="18">
        <v>4</v>
      </c>
    </row>
    <row r="43" spans="1:2" x14ac:dyDescent="0.25">
      <c r="A43" s="21" t="s">
        <v>71</v>
      </c>
      <c r="B43" s="18">
        <v>4</v>
      </c>
    </row>
    <row r="44" spans="1:2" x14ac:dyDescent="0.25">
      <c r="A44" s="21" t="s">
        <v>72</v>
      </c>
      <c r="B44" s="18">
        <v>4</v>
      </c>
    </row>
    <row r="45" spans="1:2" x14ac:dyDescent="0.25">
      <c r="A45" s="21" t="s">
        <v>73</v>
      </c>
      <c r="B45" s="18">
        <v>4</v>
      </c>
    </row>
    <row r="46" spans="1:2" x14ac:dyDescent="0.25">
      <c r="A46" s="21" t="s">
        <v>74</v>
      </c>
      <c r="B46" s="18">
        <v>4</v>
      </c>
    </row>
    <row r="47" spans="1:2" x14ac:dyDescent="0.25">
      <c r="A47" s="21" t="s">
        <v>75</v>
      </c>
      <c r="B47" s="18">
        <v>4</v>
      </c>
    </row>
    <row r="48" spans="1:2" x14ac:dyDescent="0.25">
      <c r="A48" s="21" t="s">
        <v>76</v>
      </c>
      <c r="B48" s="18">
        <v>4</v>
      </c>
    </row>
    <row r="49" spans="1:2" x14ac:dyDescent="0.25">
      <c r="A49" s="21" t="s">
        <v>77</v>
      </c>
      <c r="B49" s="18">
        <v>5</v>
      </c>
    </row>
    <row r="50" spans="1:2" x14ac:dyDescent="0.25">
      <c r="A50" s="21" t="s">
        <v>78</v>
      </c>
      <c r="B50" s="18">
        <v>5</v>
      </c>
    </row>
    <row r="51" spans="1:2" x14ac:dyDescent="0.25">
      <c r="A51" s="21" t="s">
        <v>79</v>
      </c>
      <c r="B51" s="18">
        <v>5</v>
      </c>
    </row>
    <row r="52" spans="1:2" x14ac:dyDescent="0.25">
      <c r="A52" s="21" t="s">
        <v>80</v>
      </c>
      <c r="B52" s="18">
        <v>5</v>
      </c>
    </row>
    <row r="53" spans="1:2" x14ac:dyDescent="0.25">
      <c r="A53" s="21" t="s">
        <v>81</v>
      </c>
      <c r="B53" s="18">
        <v>5</v>
      </c>
    </row>
    <row r="54" spans="1:2" x14ac:dyDescent="0.25">
      <c r="A54" s="21" t="s">
        <v>82</v>
      </c>
      <c r="B54" s="18">
        <v>5</v>
      </c>
    </row>
    <row r="55" spans="1:2" x14ac:dyDescent="0.25">
      <c r="A55" s="21" t="s">
        <v>83</v>
      </c>
      <c r="B55" s="18">
        <v>5</v>
      </c>
    </row>
    <row r="56" spans="1:2" x14ac:dyDescent="0.25">
      <c r="A56" s="21" t="s">
        <v>84</v>
      </c>
      <c r="B56" s="18">
        <v>5</v>
      </c>
    </row>
    <row r="57" spans="1:2" x14ac:dyDescent="0.25">
      <c r="A57" s="21" t="s">
        <v>85</v>
      </c>
      <c r="B57" s="18">
        <v>5</v>
      </c>
    </row>
    <row r="58" spans="1:2" x14ac:dyDescent="0.25">
      <c r="A58" s="21" t="s">
        <v>86</v>
      </c>
      <c r="B58" s="18">
        <v>5</v>
      </c>
    </row>
    <row r="59" spans="1:2" x14ac:dyDescent="0.25">
      <c r="A59" s="21" t="s">
        <v>87</v>
      </c>
      <c r="B59" s="18">
        <v>5</v>
      </c>
    </row>
    <row r="60" spans="1:2" x14ac:dyDescent="0.25">
      <c r="A60" s="21" t="s">
        <v>88</v>
      </c>
      <c r="B60" s="18">
        <v>5</v>
      </c>
    </row>
    <row r="61" spans="1:2" x14ac:dyDescent="0.25">
      <c r="A61" s="21" t="s">
        <v>89</v>
      </c>
      <c r="B61" s="18">
        <v>6</v>
      </c>
    </row>
    <row r="62" spans="1:2" x14ac:dyDescent="0.25">
      <c r="A62" s="21" t="s">
        <v>90</v>
      </c>
      <c r="B62" s="18">
        <v>6</v>
      </c>
    </row>
    <row r="63" spans="1:2" x14ac:dyDescent="0.25">
      <c r="A63" s="21" t="s">
        <v>91</v>
      </c>
      <c r="B63" s="18">
        <v>6</v>
      </c>
    </row>
    <row r="64" spans="1:2" x14ac:dyDescent="0.25">
      <c r="A64" s="21" t="s">
        <v>92</v>
      </c>
      <c r="B64" s="18">
        <v>6</v>
      </c>
    </row>
    <row r="65" spans="1:2" x14ac:dyDescent="0.25">
      <c r="A65" s="21" t="s">
        <v>93</v>
      </c>
      <c r="B65" s="18">
        <v>6</v>
      </c>
    </row>
    <row r="66" spans="1:2" x14ac:dyDescent="0.25">
      <c r="A66" s="21" t="s">
        <v>94</v>
      </c>
      <c r="B66" s="18">
        <v>6</v>
      </c>
    </row>
    <row r="67" spans="1:2" x14ac:dyDescent="0.25">
      <c r="A67" s="21" t="s">
        <v>95</v>
      </c>
      <c r="B67" s="18">
        <v>6</v>
      </c>
    </row>
    <row r="68" spans="1:2" x14ac:dyDescent="0.25">
      <c r="A68" s="21" t="s">
        <v>96</v>
      </c>
      <c r="B68" s="18">
        <v>6</v>
      </c>
    </row>
    <row r="69" spans="1:2" x14ac:dyDescent="0.25">
      <c r="A69" s="21" t="s">
        <v>97</v>
      </c>
      <c r="B69" s="18">
        <v>6</v>
      </c>
    </row>
    <row r="70" spans="1:2" x14ac:dyDescent="0.25">
      <c r="A70" s="21" t="s">
        <v>98</v>
      </c>
      <c r="B70" s="18">
        <v>6</v>
      </c>
    </row>
    <row r="71" spans="1:2" x14ac:dyDescent="0.25">
      <c r="A71" s="21" t="s">
        <v>99</v>
      </c>
      <c r="B71" s="18">
        <v>6</v>
      </c>
    </row>
    <row r="72" spans="1:2" x14ac:dyDescent="0.25">
      <c r="A72" s="21" t="s">
        <v>100</v>
      </c>
      <c r="B72" s="18">
        <v>6</v>
      </c>
    </row>
    <row r="73" spans="1:2" x14ac:dyDescent="0.25">
      <c r="A73" s="21" t="s">
        <v>101</v>
      </c>
      <c r="B73" s="18">
        <v>7</v>
      </c>
    </row>
    <row r="74" spans="1:2" x14ac:dyDescent="0.25">
      <c r="A74" s="21" t="s">
        <v>102</v>
      </c>
      <c r="B74" s="18">
        <v>7</v>
      </c>
    </row>
    <row r="75" spans="1:2" x14ac:dyDescent="0.25">
      <c r="A75" s="21" t="s">
        <v>103</v>
      </c>
      <c r="B75" s="18">
        <v>7</v>
      </c>
    </row>
    <row r="76" spans="1:2" x14ac:dyDescent="0.25">
      <c r="A76" s="21" t="s">
        <v>104</v>
      </c>
      <c r="B76" s="18">
        <v>7</v>
      </c>
    </row>
    <row r="77" spans="1:2" x14ac:dyDescent="0.25">
      <c r="A77" s="21" t="s">
        <v>105</v>
      </c>
      <c r="B77" s="18">
        <v>7</v>
      </c>
    </row>
    <row r="78" spans="1:2" x14ac:dyDescent="0.25">
      <c r="A78" s="21" t="s">
        <v>106</v>
      </c>
      <c r="B78" s="18">
        <v>7</v>
      </c>
    </row>
    <row r="79" spans="1:2" x14ac:dyDescent="0.25">
      <c r="A79" s="21" t="s">
        <v>107</v>
      </c>
      <c r="B79" s="18">
        <v>7</v>
      </c>
    </row>
    <row r="80" spans="1:2" x14ac:dyDescent="0.25">
      <c r="A80" s="21" t="s">
        <v>108</v>
      </c>
      <c r="B80" s="18">
        <v>7</v>
      </c>
    </row>
    <row r="81" spans="1:2" x14ac:dyDescent="0.25">
      <c r="A81" s="21" t="s">
        <v>109</v>
      </c>
      <c r="B81" s="18">
        <v>7</v>
      </c>
    </row>
    <row r="82" spans="1:2" x14ac:dyDescent="0.25">
      <c r="A82" s="21" t="s">
        <v>110</v>
      </c>
      <c r="B82" s="18">
        <v>7</v>
      </c>
    </row>
    <row r="83" spans="1:2" x14ac:dyDescent="0.25">
      <c r="A83" s="21" t="s">
        <v>111</v>
      </c>
      <c r="B83" s="18">
        <v>7</v>
      </c>
    </row>
    <row r="84" spans="1:2" x14ac:dyDescent="0.25">
      <c r="A84" s="21" t="s">
        <v>112</v>
      </c>
      <c r="B84" s="18">
        <v>7</v>
      </c>
    </row>
    <row r="85" spans="1:2" x14ac:dyDescent="0.25">
      <c r="A85" s="21" t="s">
        <v>113</v>
      </c>
      <c r="B85" s="18">
        <v>8</v>
      </c>
    </row>
  </sheetData>
  <conditionalFormatting sqref="B77:B85 B10:B46">
    <cfRule type="duplicateValues" dxfId="7" priority="7"/>
  </conditionalFormatting>
  <conditionalFormatting sqref="B57:B76">
    <cfRule type="duplicateValues" dxfId="6" priority="6"/>
  </conditionalFormatting>
  <conditionalFormatting sqref="B47:B49 B51:B56">
    <cfRule type="duplicateValues" dxfId="5" priority="8"/>
  </conditionalFormatting>
  <conditionalFormatting sqref="B50">
    <cfRule type="duplicateValues" dxfId="4" priority="5"/>
  </conditionalFormatting>
  <conditionalFormatting sqref="B1:B9">
    <cfRule type="duplicateValues" dxfId="3" priority="4"/>
  </conditionalFormatting>
  <conditionalFormatting sqref="A1 A5 A9 A13 A17 A21 A25 A29 A33 A37 A41 A45 A49 A53 A57 A61 A65 A69 A73 A77 A81 A85">
    <cfRule type="duplicateValues" dxfId="2" priority="3"/>
  </conditionalFormatting>
  <conditionalFormatting sqref="A2 A6 A10 A14 A18 A22 A26 A30 A34 A38 A42 A46 A50 A54 A58 A62 A66 A70 A74 A78 A82">
    <cfRule type="duplicateValues" dxfId="1" priority="2"/>
  </conditionalFormatting>
  <conditionalFormatting sqref="A3:A4 A7:A8 A11:A12 A15:A16 A19:A20 A23:A24 A27:A28 A31:A32 A35:A36 A39:A40 A43:A44 A47:A48 A51:A52 A55:A56 A59:A60 A63:A64 A67:A68 A71:A72 A75:A76 A79:A80 A83:A8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CI_ESTACIÓN</vt:lpstr>
      <vt:lpstr>CI_SUB_ESTACION</vt:lpstr>
      <vt:lpstr>CI_MOTIVO</vt:lpstr>
      <vt:lpstr>CI_TIPO</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 la Rosa</dc:creator>
  <cp:lastModifiedBy>Alejandro de la Rosa</cp:lastModifiedBy>
  <dcterms:created xsi:type="dcterms:W3CDTF">2018-09-05T16:16:25Z</dcterms:created>
  <dcterms:modified xsi:type="dcterms:W3CDTF">2021-11-04T22:29:59Z</dcterms:modified>
</cp:coreProperties>
</file>